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eniw\JAYTAX개발\docs\일반조서\"/>
    </mc:Choice>
  </mc:AlternateContent>
  <xr:revisionPtr revIDLastSave="0" documentId="13_ncr:1_{37105A1C-B419-43CB-883D-A5DD84294161}" xr6:coauthVersionLast="47" xr6:coauthVersionMax="47" xr10:uidLastSave="{00000000-0000-0000-0000-000000000000}"/>
  <bookViews>
    <workbookView xWindow="12375" yWindow="2025" windowWidth="15330" windowHeight="10770" xr2:uid="{00000000-000D-0000-FFFF-FFFF00000000}"/>
  </bookViews>
  <sheets>
    <sheet name="조서별 규칙" sheetId="1" r:id="rId1"/>
    <sheet name="범례" sheetId="2" r:id="rId2"/>
    <sheet name="요약" sheetId="3" r:id="rId3"/>
  </sheets>
  <definedNames>
    <definedName name="_xlnm._FilterDatabase" localSheetId="0" hidden="1">'조서별 규칙'!$A$1:$L$72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" l="1"/>
  <c r="F4" i="3"/>
  <c r="E4" i="3"/>
  <c r="D4" i="3"/>
  <c r="C4" i="3"/>
  <c r="B4" i="3"/>
  <c r="G3" i="3"/>
  <c r="F3" i="3"/>
  <c r="E3" i="3"/>
  <c r="D3" i="3"/>
  <c r="C3" i="3"/>
  <c r="B3" i="3"/>
  <c r="H3" i="3" s="1"/>
  <c r="G2" i="3"/>
  <c r="G5" i="3" s="1"/>
  <c r="F2" i="3"/>
  <c r="E2" i="3"/>
  <c r="E5" i="3" s="1"/>
  <c r="B7" i="3" s="1"/>
  <c r="D2" i="3"/>
  <c r="D5" i="3" s="1"/>
  <c r="C2" i="3"/>
  <c r="B2" i="3"/>
  <c r="H4" i="3" l="1"/>
  <c r="C5" i="3"/>
  <c r="F5" i="3"/>
  <c r="B5" i="3"/>
  <c r="B8" i="3" s="1"/>
  <c r="H2" i="3"/>
  <c r="H5" i="3" s="1"/>
</calcChain>
</file>

<file path=xl/sharedStrings.xml><?xml version="1.0" encoding="utf-8"?>
<sst xmlns="http://schemas.openxmlformats.org/spreadsheetml/2006/main" count="805" uniqueCount="356">
  <si>
    <t>섹션</t>
  </si>
  <si>
    <t>조서코드</t>
  </si>
  <si>
    <t>조서명</t>
  </si>
  <si>
    <t>단계</t>
  </si>
  <si>
    <t>갱신유형</t>
  </si>
  <si>
    <t>적용</t>
  </si>
  <si>
    <t>적용조건 · 메모</t>
  </si>
  <si>
    <t>시스템이 하는 일</t>
  </si>
  <si>
    <t>근거(명진 FY25 실물)</t>
  </si>
  <si>
    <t>확신</t>
  </si>
  <si>
    <t>수정의견 ✏️</t>
  </si>
  <si>
    <t>반영 내역(09-26)</t>
  </si>
  <si>
    <t>공통</t>
  </si>
  <si>
    <t>표지</t>
  </si>
  <si>
    <t>감사조서철 작성 및 보존</t>
  </si>
  <si>
    <t>①</t>
  </si>
  <si>
    <t>항상</t>
  </si>
  <si>
    <t>이월본 그대로 · 머리만 링크로</t>
  </si>
  <si>
    <t>앞 3장 중 첫 장</t>
  </si>
  <si>
    <t>높음</t>
  </si>
  <si>
    <t>조서표지(공통사항)</t>
  </si>
  <si>
    <t>시스템</t>
  </si>
  <si>
    <t>회사명·결산일·대상기간·감사보고서일을 작업 건에서 채움</t>
  </si>
  <si>
    <t>시스템이 채움</t>
  </si>
  <si>
    <t>B14~B17</t>
  </si>
  <si>
    <t>목록</t>
  </si>
  <si>
    <t>조서목록</t>
  </si>
  <si>
    <t>수행여부·작성자·작성일을 화면에서 받아 써 넣음 — 날짜의 정본. 각 조서 머리는 링크로 따라감</t>
  </si>
  <si>
    <t>D열 작성자 · E열 작성일</t>
  </si>
  <si>
    <t>1000 감사계약</t>
  </si>
  <si>
    <t>1100</t>
  </si>
  <si>
    <t>계약전 위험평가 및 업무조건의 합의</t>
  </si>
  <si>
    <t>계획</t>
  </si>
  <si>
    <t>ERP 에서 평가를 마친 조서 — 본문에 「ERP 에서 수행함」으로 적는다</t>
  </si>
  <si>
    <t>ERP 수행 문구를 넣고 그대로</t>
  </si>
  <si>
    <t>머리 2025-04-14 · 값 26칸</t>
  </si>
  <si>
    <t>erp평가를 마친 상태이며 erp에서 기재했다고 적어야 함. 즉 해당 일반조서작성은 erp 환경에서 기수행됨.</t>
  </si>
  <si>
    <t>✓ 수정의견: ERP 에서 기수행</t>
  </si>
  <si>
    <t>1100A</t>
  </si>
  <si>
    <t>계약전 위험평가표(수임)</t>
  </si>
  <si>
    <t>조건부</t>
  </si>
  <si>
    <t>신규 수임(초도)일 때 · ERP 에서 평가를 마친 조서 — 본문에 「ERP 에서 수행함」으로 적는다</t>
  </si>
  <si>
    <t>숨김 · 값 805칸</t>
  </si>
  <si>
    <t>1200</t>
  </si>
  <si>
    <t>독립성, 윤리규정 및 품질관리기준의 준수</t>
  </si>
  <si>
    <t>머리 2025-04-14 · 값 9칸</t>
  </si>
  <si>
    <t>1300C</t>
  </si>
  <si>
    <t>산업전문가 검토</t>
  </si>
  <si>
    <t>K-IFRS 적용기업에만</t>
  </si>
  <si>
    <t>명진에 없음</t>
  </si>
  <si>
    <t>산업전문가는 K-IFRS 적용기업에만 해당함</t>
  </si>
  <si>
    <t>✓ 수정의견: K-IFRS 에만</t>
  </si>
  <si>
    <t>2000 위험평가</t>
  </si>
  <si>
    <t>2100</t>
  </si>
  <si>
    <t>기업과 기업 환경에 대한 이해</t>
  </si>
  <si>
    <t>④</t>
  </si>
  <si>
    <t>★ 초안 도움 대상 — 전기 내용 + 거래처 정보</t>
  </si>
  <si>
    <t>전기 내용 보존 · 당기를 덧붙일 자리 표시</t>
  </si>
  <si>
    <t>머리 2025-04-14 · 값 28칸</t>
  </si>
  <si>
    <t>중간</t>
  </si>
  <si>
    <t>2100A</t>
  </si>
  <si>
    <t>회사의 사업 및 법규에 대한 이해요약표</t>
  </si>
  <si>
    <t>★ 초안 도움 대상</t>
  </si>
  <si>
    <t>값 197칸(서술)</t>
  </si>
  <si>
    <t>2110</t>
  </si>
  <si>
    <t>감사계획의 수립</t>
  </si>
  <si>
    <t>②</t>
  </si>
  <si>
    <t>일정·투입인력·감사팀 구성</t>
  </si>
  <si>
    <t>이월본 + 본문의 날짜·담당자 칸을 확인 목록으로</t>
  </si>
  <si>
    <t>값 39칸</t>
  </si>
  <si>
    <t>2110-1</t>
  </si>
  <si>
    <t>감사전략계획서(ASM)</t>
  </si>
  <si>
    <t>별도 파일(docx) — Audit Lobby 에 따로 올림</t>
  </si>
  <si>
    <t>AuditLobby 폴더에 docx</t>
  </si>
  <si>
    <t>2110-2</t>
  </si>
  <si>
    <t>계약후 감사위험 재평가</t>
  </si>
  <si>
    <t>특이사항이 없으면 그대로 · 예외: 초도, 전기 감사인 변경</t>
  </si>
  <si>
    <t>값 75칸</t>
  </si>
  <si>
    <t>답이 거의 매년 같음. 즉 특이사항 발생하지 않는한 동의함(초도 전기외감인 회사 정도?)</t>
  </si>
  <si>
    <t>✓ 수정의견: 매년 같음 동의</t>
  </si>
  <si>
    <t>2110A</t>
  </si>
  <si>
    <t>업무분장표</t>
  </si>
  <si>
    <t>감사팀 구성·담당</t>
  </si>
  <si>
    <t>값 182칸</t>
  </si>
  <si>
    <t>2120</t>
  </si>
  <si>
    <t>분석적절차(계획단계)</t>
  </si>
  <si>
    <t>결론 문장 — 2120A 를 링크로 건다</t>
  </si>
  <si>
    <t>2120A 링크를 걸고 날짜·담당자 확인</t>
  </si>
  <si>
    <t>값 6칸</t>
  </si>
  <si>
    <t>[2120A]조서를 링크로 걸어야함</t>
  </si>
  <si>
    <t>✓ 수정의견: 2120A 링크</t>
  </si>
  <si>
    <t>2120A</t>
  </si>
  <si>
    <t>계획단계 분석적검토</t>
  </si>
  <si>
    <t>③</t>
  </si>
  <si>
    <t>당기 가결산 숫자 · 2차 화면 입력 후보</t>
  </si>
  <si>
    <t>전기를 틀로 두고 「당기 작성」 표시</t>
  </si>
  <si>
    <t>값 1,053칸(숫자)</t>
  </si>
  <si>
    <t>2131</t>
  </si>
  <si>
    <t>감사인측 전문가의 활용</t>
  </si>
  <si>
    <t>보통 「해당없음」</t>
  </si>
  <si>
    <t>값 13칸</t>
  </si>
  <si>
    <t>2301</t>
  </si>
  <si>
    <t>감사위험의 평가</t>
  </si>
  <si>
    <t>보통 그대로 · 일관성 점검 대상 — 2301·2302·2530·3100·3150 이 서로 맞아야 함</t>
  </si>
  <si>
    <t>이월본 그대로 + 일관성 점검</t>
  </si>
  <si>
    <t>값 54칸</t>
  </si>
  <si>
    <t>✓ 대화 안내: 보통 그대로, 상호 대사</t>
  </si>
  <si>
    <t>2302</t>
  </si>
  <si>
    <t>중요왜곡표시위험의 식별·평가 및 대응</t>
  </si>
  <si>
    <t>기본 세팅: 유의적 위험 = 부정위험·매출. 계정 잔액만 당기 숫자 · 일관성 점검 대상 — 2301·2302·2530·3100·3150 이 서로 맞아야 함</t>
  </si>
  <si>
    <t>값 553칸</t>
  </si>
  <si>
    <t>✓ 대화 안내: 보통 그대로, 유의적 위험 기본 세팅</t>
  </si>
  <si>
    <t>2511</t>
  </si>
  <si>
    <t>통제환경 이해와 평가</t>
  </si>
  <si>
    <t>★ 초안 도움 — 비상장은 채우기 어려운 자리</t>
  </si>
  <si>
    <t>값 91칸</t>
  </si>
  <si>
    <t>2512</t>
  </si>
  <si>
    <t>위험평가절차 이해와 평가</t>
  </si>
  <si>
    <t>★ 초안 도움</t>
  </si>
  <si>
    <t>값 43칸</t>
  </si>
  <si>
    <t>2513</t>
  </si>
  <si>
    <t>통제의 모니터링 이해와 평가</t>
  </si>
  <si>
    <t>값 42칸</t>
  </si>
  <si>
    <t>2520</t>
  </si>
  <si>
    <t>정보시스템과 커뮤니케이션의 이해와 평가</t>
  </si>
  <si>
    <t>★ 초안 도움(IT)</t>
  </si>
  <si>
    <t>값 191칸</t>
  </si>
  <si>
    <t>2530</t>
  </si>
  <si>
    <t>통제활동의 이해와 평가·통제 test</t>
  </si>
  <si>
    <t>비상장은 통제테스트를 하지 않음 — 이해·평가만 · 일관성 점검 대상 — 2301·2302·2530·3100·3150 이 서로 맞아야 함</t>
  </si>
  <si>
    <t>값 280칸</t>
  </si>
  <si>
    <t>✓ 대화 안내: 비상장은 통제테스트 안 함</t>
  </si>
  <si>
    <t>2531</t>
  </si>
  <si>
    <t>통제활동 이해·평가·미비점(소규모)</t>
  </si>
  <si>
    <t>소규모감사기준일 때</t>
  </si>
  <si>
    <t>숨김(소규모 쌍)</t>
  </si>
  <si>
    <t>2532</t>
  </si>
  <si>
    <t>정보기술(IT)시스템과 IT일반통제(소규모)</t>
  </si>
  <si>
    <t>소규모감사기준일 때 · ★ 초안 도움(IT)</t>
  </si>
  <si>
    <t>2600</t>
  </si>
  <si>
    <t>내부회계관리제도 검토</t>
  </si>
  <si>
    <t>상장회사가 아니면 해당없음</t>
  </si>
  <si>
    <t>대부분 상장회사가 아니면 해당 없음</t>
  </si>
  <si>
    <t>✓ 수정의견: 상장 아니면 해당없음</t>
  </si>
  <si>
    <t>2700</t>
  </si>
  <si>
    <t>중요성</t>
  </si>
  <si>
    <t>계획·중간·기말</t>
  </si>
  <si>
    <t>세 번 다시 씀 — 최종 날짜는 기말</t>
  </si>
  <si>
    <t>값 28칸</t>
  </si>
  <si>
    <t>2700A</t>
  </si>
  <si>
    <t>중요성 요약표</t>
  </si>
  <si>
    <t>세 단계 결과를 한 표에</t>
  </si>
  <si>
    <t>값 47칸</t>
  </si>
  <si>
    <t>2700A-1</t>
  </si>
  <si>
    <t>중요성 산정(감사계획단계)</t>
  </si>
  <si>
    <t>2차 화면 입력 후보</t>
  </si>
  <si>
    <t>머리 2025-04-14</t>
  </si>
  <si>
    <t>2700A-2</t>
  </si>
  <si>
    <t>중요성 산정(감사수행단계)</t>
  </si>
  <si>
    <t>머리 2026-03-23 — 중간 것을 기말에 적음</t>
  </si>
  <si>
    <t>2700A-3</t>
  </si>
  <si>
    <t>중요성 산정(감사완결단계)</t>
  </si>
  <si>
    <t>기말</t>
  </si>
  <si>
    <t>머리 2026-03-23</t>
  </si>
  <si>
    <t>2700A-1(적용지침)</t>
  </si>
  <si>
    <t>중요성 산정 적용지침</t>
  </si>
  <si>
    <t>—</t>
  </si>
  <si>
    <t>참고</t>
  </si>
  <si>
    <t>작성 대상 아님</t>
  </si>
  <si>
    <t>손대지 않음</t>
  </si>
  <si>
    <t>머리 없음</t>
  </si>
  <si>
    <t>참고_2700</t>
  </si>
  <si>
    <t>중요성 벤치마크 사례</t>
  </si>
  <si>
    <t>값 0칸</t>
  </si>
  <si>
    <t>3000 위험대응</t>
  </si>
  <si>
    <t>3100</t>
  </si>
  <si>
    <t>위험에 대한 대응</t>
  </si>
  <si>
    <t>기본 세팅: 실증절차 위주 · 통제테스트 안 함 · 기말에 테스트 범위 확대. 회사 특화 문구만 손봄 · 일관성 점검 대상 — 2301·2302·2530·3100·3150 이 서로 맞아야 함</t>
  </si>
  <si>
    <t>머리 2025-12-26 · 값 475칸</t>
  </si>
  <si>
    <t>✓ 대화 안내: 보통 그대로, 실증 위주</t>
  </si>
  <si>
    <t>3150</t>
  </si>
  <si>
    <t>통제테스트</t>
  </si>
  <si>
    <t>통제에 의존할 때 — 비상장 기본은 해당없음 · 일관성 점검 대상 — 2301·2302·2530·3100·3150 이 서로 맞아야 함</t>
  </si>
  <si>
    <t>숨김</t>
  </si>
  <si>
    <t>✓ 대화 안내: 통제테스트 안 함</t>
  </si>
  <si>
    <t>3200</t>
  </si>
  <si>
    <t>유의적 사항에 대한 문서화</t>
  </si>
  <si>
    <t>당기 유의적 사항</t>
  </si>
  <si>
    <t>머리 2025-12-26 · 값 28칸</t>
  </si>
  <si>
    <t>3300</t>
  </si>
  <si>
    <t>분석적절차(수행단계)</t>
  </si>
  <si>
    <t>머리 2025-12-26 · 값 10칸</t>
  </si>
  <si>
    <t>3300A</t>
  </si>
  <si>
    <t>실증적 분석절차</t>
  </si>
  <si>
    <t>실증분석을 쓸 때</t>
  </si>
  <si>
    <t>3400</t>
  </si>
  <si>
    <t>공정가치 등 회계추정치</t>
  </si>
  <si>
    <t>추정치 목록은 이월, 당기 평가</t>
  </si>
  <si>
    <t>머리 2025-12-26 · 값 78칸</t>
  </si>
  <si>
    <t>3500</t>
  </si>
  <si>
    <t>특수관계자 거래</t>
  </si>
  <si>
    <t>머리 2026-03-23 · 값 83칸</t>
  </si>
  <si>
    <t>3500A</t>
  </si>
  <si>
    <t>특수관계자 파악</t>
  </si>
  <si>
    <t>특수관계자 목록 이월</t>
  </si>
  <si>
    <t>값 88칸</t>
  </si>
  <si>
    <t>3500B</t>
  </si>
  <si>
    <t>특수관계자 거래 내역의 완전성</t>
  </si>
  <si>
    <t>특수관계자검토(연도)</t>
  </si>
  <si>
    <t>특수관계자 검토표(회사가 더한 시트)</t>
  </si>
  <si>
    <t>전기 시트는 남기고 당기 시트를 새로 만듦</t>
  </si>
  <si>
    <t>특수관계자검토24 · 25</t>
  </si>
  <si>
    <t>3500-1</t>
  </si>
  <si>
    <t>특수관계자에 대한 경영진 질문서</t>
  </si>
  <si>
    <t>별도 파일(docx)</t>
  </si>
  <si>
    <t>3600</t>
  </si>
  <si>
    <t>부정의 검토</t>
  </si>
  <si>
    <t>매년 전기와 같음</t>
  </si>
  <si>
    <t>머리 2026-03-23 · 값 95칸</t>
  </si>
  <si>
    <t>✓ 대화 안내: 전기와 동일</t>
  </si>
  <si>
    <t>3600A·B·C</t>
  </si>
  <si>
    <t>부정 질문서(경영진·지배기구·재무보고 관여자)</t>
  </si>
  <si>
    <t>3650</t>
  </si>
  <si>
    <t>감사 전 재무제표 확인</t>
  </si>
  <si>
    <t>증선위 제출대상 법인</t>
  </si>
  <si>
    <t>3700</t>
  </si>
  <si>
    <t>계속기업의 검토</t>
  </si>
  <si>
    <t>당기 재무지표로 판단</t>
  </si>
  <si>
    <t>머리 2026-03-23 · 값 84칸</t>
  </si>
  <si>
    <t>3800</t>
  </si>
  <si>
    <t>초도감사 - 기초잔액 검토절차</t>
  </si>
  <si>
    <t>초도감사일 때</t>
  </si>
  <si>
    <t>3900</t>
  </si>
  <si>
    <t>핵심감사사항(3900·A·B)</t>
  </si>
  <si>
    <t>상장법인</t>
  </si>
  <si>
    <t>3910</t>
  </si>
  <si>
    <t>수주산업 핵심감사사항(3910·A·B·C)</t>
  </si>
  <si>
    <t>수주산업·사업보고서 제출대상</t>
  </si>
  <si>
    <t>8000 감사완결</t>
  </si>
  <si>
    <t>8100</t>
  </si>
  <si>
    <t>왜곡표시의 평가</t>
  </si>
  <si>
    <t>머리 2026-03-23 · 값 19칸</t>
  </si>
  <si>
    <t>8100A</t>
  </si>
  <si>
    <t>왜곡표시 집계표</t>
  </si>
  <si>
    <t>2차 화면 입력 후보 · 경영자확인서 별첨 수정사항집계표와 짝</t>
  </si>
  <si>
    <t>값 104칸</t>
  </si>
  <si>
    <t>8110</t>
  </si>
  <si>
    <t>분석적절차(종결단계)</t>
  </si>
  <si>
    <t>머리 2026-03-23 · 값 58칸</t>
  </si>
  <si>
    <t>8110ARP</t>
  </si>
  <si>
    <t>재무제표 분석(BS·PL, 회사가 더한 시트)</t>
  </si>
  <si>
    <t>당기 재무제표 숫자 — 주석·DSD 에서 가져올 후보</t>
  </si>
  <si>
    <t>8110ARP_BS 값 248 · _PL 값 281</t>
  </si>
  <si>
    <t>8200</t>
  </si>
  <si>
    <t>후속사건의 검토</t>
  </si>
  <si>
    <t>값 76칸</t>
  </si>
  <si>
    <t>8300</t>
  </si>
  <si>
    <t>서면진술</t>
  </si>
  <si>
    <t>날짜 · 서면진술서(8300A docx)는 별도</t>
  </si>
  <si>
    <t>값 12칸</t>
  </si>
  <si>
    <t>8400</t>
  </si>
  <si>
    <t>공시사항점검표</t>
  </si>
  <si>
    <t>별도 파일(엑셀) — 명진도 따로 둠</t>
  </si>
  <si>
    <t>폴더에 별도 xlsx</t>
  </si>
  <si>
    <t>8500</t>
  </si>
  <si>
    <t>커뮤니케이션</t>
  </si>
  <si>
    <t>머리 2026-03-23 · 값 50칸</t>
  </si>
  <si>
    <t>8500(별첨1)</t>
  </si>
  <si>
    <t>감사계획 시 지배기구와의 커뮤니케이션 요약</t>
  </si>
  <si>
    <t>계획단계에 적음</t>
  </si>
  <si>
    <t>값 0칸(비어 있음)</t>
  </si>
  <si>
    <t>8500(별첨2)</t>
  </si>
  <si>
    <t>감사종결 시 지배기구와의 커뮤니케이션 요약</t>
  </si>
  <si>
    <t>8550</t>
  </si>
  <si>
    <t>심리사항점검표(품질관리리뷰어)</t>
  </si>
  <si>
    <t>해당없음</t>
  </si>
  <si>
    <t>심리실 소관 — 감사팀 조서가 아님</t>
  </si>
  <si>
    <t>심리실 소관이라 해당사항 없는 것이 맞음</t>
  </si>
  <si>
    <t>✓ 수정의견: 심리실 소관</t>
  </si>
  <si>
    <t>8600</t>
  </si>
  <si>
    <t>감사의견의 형성</t>
  </si>
  <si>
    <t>적정의견이면 문장 그대로, 날짜만</t>
  </si>
  <si>
    <t>값 48칸</t>
  </si>
  <si>
    <t>8600A</t>
  </si>
  <si>
    <t>감사인의 결론 집계표</t>
  </si>
  <si>
    <t>값 1칸</t>
  </si>
  <si>
    <t>8700</t>
  </si>
  <si>
    <t>감사종료</t>
  </si>
  <si>
    <t>보고서일·아카이브 기한</t>
  </si>
  <si>
    <t>머리 2026-03-23 · 값 198칸</t>
  </si>
  <si>
    <t>8800</t>
  </si>
  <si>
    <t>시산표</t>
  </si>
  <si>
    <t>첨부</t>
  </si>
  <si>
    <t>파일을 붙임</t>
  </si>
  <si>
    <t>파일 자리만 — 올리면 묶음에 넣음</t>
  </si>
  <si>
    <t>시트 없음</t>
  </si>
  <si>
    <t>8810</t>
  </si>
  <si>
    <t>날인된 재무제표(주석 포함)</t>
  </si>
  <si>
    <t>주석·DSD 최종본에서</t>
  </si>
  <si>
    <t>8820</t>
  </si>
  <si>
    <t>감사보고서의 최종본</t>
  </si>
  <si>
    <t>8900</t>
  </si>
  <si>
    <t>아카이브 체크리스트</t>
  </si>
  <si>
    <t>별도 파일 — Audit Lobby 에 따로 올림</t>
  </si>
  <si>
    <t>AuditLobby 폴더에 별도 xlsx</t>
  </si>
  <si>
    <t>범위 밖</t>
  </si>
  <si>
    <t>7000</t>
  </si>
  <si>
    <t>그룹감사(7000번대)</t>
  </si>
  <si>
    <t>연결재무제표 감사 — 1차 범위 밖</t>
  </si>
  <si>
    <t>4000·JET</t>
  </si>
  <si>
    <t>계정별 실증절차 · JE Test</t>
  </si>
  <si>
    <t>설계에서 제외(2026-09-15 결정)</t>
  </si>
  <si>
    <t>일반조서 조서별 규칙 — 초안(2026-09-25)</t>
  </si>
  <si>
    <t>고쳐 주실 곳</t>
  </si>
  <si>
    <t>「조서별 규칙」의 노란 칸(수정의견)에 적거나, 갱신유형·단계 칸을 바로 바꾸셔도 됩니다(목록에서 고름).</t>
  </si>
  <si>
    <t>수정의견 예시</t>
  </si>
  <si>
    <t>② → ④ · 매년 특수관계자 표를 새로 덧붙임</t>
  </si>
  <si>
    <t>← 이런 식으로 짧게</t>
  </si>
  <si>
    <t>뜻</t>
  </si>
  <si>
    <t>그대로 — 내용이 매년 같고 머리(날짜·작성자)만 바뀐다</t>
  </si>
  <si>
    <t>날짜·담당자 — 본문의 날짜·사람 칸만 고친다</t>
  </si>
  <si>
    <t>새로 작성 — 당기 숫자·판단을 새로 적는다</t>
  </si>
  <si>
    <t>누적 — 전기 내용을 남기고 당기를 덧붙인다</t>
  </si>
  <si>
    <t>작성 대상이 아닌 안내·예시 시트</t>
  </si>
  <si>
    <t>시트가 아니라 파일(시산표·재무제표·보고서)</t>
  </si>
  <si>
    <t>표지·조서목록 — 작업 건 정보로 채운다</t>
  </si>
  <si>
    <t>근거 — 명진 FY25 조서 머리의 작성일</t>
  </si>
  <si>
    <t>2025-04-14 — 1000·2000 전부, 8500 별첨1</t>
  </si>
  <si>
    <t>보통 4~5월</t>
  </si>
  <si>
    <t>2025-12-26 — 3100·3200·3300·3400</t>
  </si>
  <si>
    <t>중간감사</t>
  </si>
  <si>
    <t>2026-03-23 — 3500·3600·3700·8000 전부, 2700A-2·3</t>
  </si>
  <si>
    <t>보고서 발행 때</t>
  </si>
  <si>
    <t>정해진 것</t>
  </si>
  <si>
    <t>검토자(파트너) = 작업 건마다 기록 · 지금은 전 회사 조현규</t>
  </si>
  <si>
    <t>2026-09-25 사용자</t>
  </si>
  <si>
    <t>작성자 기본값 = 그 회사 감사 매출계약의 담당회계사(18곳 중 17곳 정우철, 에스씨티 김준성). 조서마다 바꿀 수 있음</t>
  </si>
  <si>
    <t>날짜 = 손으로 적는다(타임리포트 근거, 나중에 일괄 기입 가능)</t>
  </si>
  <si>
    <t>★ 초안 도움 대상 = 회사 사업 이해(2100·2100A)와 내부통제·IT(2511~2532·2600)</t>
  </si>
  <si>
    <t>일관성 규칙</t>
  </si>
  <si>
    <t>위험평가 → 대응이 서로 맞아야 한다(사용자 안내 2026-09-26). 비상장 기본 세팅:</t>
  </si>
  <si>
    <t>유의적 위험 = 부정위험 · 매출(수익인식). 이 기본에서 벗어나는 회사는 거의 없다</t>
  </si>
  <si>
    <t>2530 · 3150</t>
  </si>
  <si>
    <t>통제테스트를 하지 않는다 — 통제는 이해·평가만</t>
  </si>
  <si>
    <t>실증절차 위주 · 통제위험에 대응해 기말에 테스트 범위를 넓힌다 · 회사 특화 문구만 손본다</t>
  </si>
  <si>
    <t>다섯 조서의 선택이 어긋나면 이월 때 경고로 띄운다</t>
  </si>
  <si>
    <t>샘플 기준</t>
  </si>
  <si>
    <t>명진산업개발 FY2025 조서는 「소규모감사기준」 양식이다(재무제표는 일반기업회계기준)</t>
  </si>
  <si>
    <t>2026-09-26 사용자</t>
  </si>
  <si>
    <t>ERP 조서</t>
  </si>
  <si>
    <t>1100·1100A·1200 은 인덕 ERP 에서 평가를 마친다 — 조서엔 「ERP 에서 수행함」</t>
  </si>
  <si>
    <t>단계 \ 갱신유형</t>
  </si>
  <si>
    <t>합계</t>
  </si>
  <si>
    <t>사람 손이 드는 조서(③+④)</t>
  </si>
  <si>
    <t>시스템이 거의 끝내는 조서(①+②)</t>
  </si>
  <si>
    <t>주: 여러 단계에 걸친 조서(2700·2700A)는 각 단계에 한 번씩 셉니다. 적용 「조건부」도 포함한 숫자입니다.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</si>
</sst>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3"/>
      <name val="Arial"/>
      <family val="2"/>
    </font>
    <font>
      <i/>
      <sz val="9"/>
      <color rgb="FF666666"/>
      <name val="Arial"/>
      <family val="2"/>
    </font>
    <font>
      <sz val="8"/>
      <name val="맑은 고딕"/>
      <family val="3"/>
      <charset val="129"/>
      <scheme val="minor"/>
    </font>
    <font>
      <sz val="10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FFF00"/>
      </patternFill>
    </fill>
    <fill>
      <patternFill patternType="solid">
        <fgColor rgb="FFE9EFF7"/>
      </patternFill>
    </fill>
  </fills>
  <borders count="2">
    <border>
      <left/>
      <right/>
      <top/>
      <bottom/>
      <diagonal/>
    </border>
    <border>
      <left style="thin">
        <color rgb="FFC8CED8"/>
      </left>
      <right style="thin">
        <color rgb="FFC8CED8"/>
      </right>
      <top style="thin">
        <color rgb="FFC8CED8"/>
      </top>
      <bottom style="thin">
        <color rgb="FFC8CED8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2" fillId="0" borderId="1" xfId="0" applyFont="1" applyBorder="1"/>
    <xf numFmtId="0" fontId="3" fillId="0" borderId="1" xfId="0" applyFont="1" applyBorder="1"/>
    <xf numFmtId="0" fontId="2" fillId="0" borderId="0" xfId="0" applyFont="1"/>
    <xf numFmtId="0" fontId="5" fillId="0" borderId="0" xfId="0" applyFont="1"/>
    <xf numFmtId="0" fontId="7" fillId="3" borderId="1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"/>
  <sheetViews>
    <sheetView tabSelected="1" zoomScale="85" zoomScaleNormal="85" workbookViewId="0">
      <pane xSplit="3" ySplit="1" topLeftCell="D6" activePane="bottomRight" state="frozen"/>
      <selection pane="topRight"/>
      <selection pane="bottomLeft"/>
      <selection pane="bottomRight" activeCell="K64" sqref="K64"/>
    </sheetView>
  </sheetViews>
  <sheetFormatPr defaultRowHeight="16.5" x14ac:dyDescent="0.3"/>
  <cols>
    <col min="1" max="1" width="14" customWidth="1"/>
    <col min="2" max="2" width="16" customWidth="1"/>
    <col min="3" max="3" width="38" customWidth="1"/>
    <col min="4" max="4" width="13" customWidth="1"/>
    <col min="5" max="5" width="9" customWidth="1"/>
    <col min="6" max="6" width="8" customWidth="1"/>
    <col min="7" max="7" width="54" bestFit="1" customWidth="1"/>
    <col min="8" max="8" width="34" customWidth="1"/>
    <col min="9" max="9" width="30" customWidth="1"/>
    <col min="10" max="10" width="7" customWidth="1"/>
    <col min="11" max="11" width="34" customWidth="1"/>
    <col min="12" max="12" width="30" customWidth="1"/>
  </cols>
  <sheetData>
    <row r="1" spans="1:12" ht="2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3" t="s">
        <v>13</v>
      </c>
      <c r="C2" s="3" t="s">
        <v>14</v>
      </c>
      <c r="D2" s="4" t="s">
        <v>12</v>
      </c>
      <c r="E2" s="5" t="s">
        <v>15</v>
      </c>
      <c r="F2" s="4" t="s">
        <v>16</v>
      </c>
      <c r="G2" s="6"/>
      <c r="H2" s="6" t="s">
        <v>17</v>
      </c>
      <c r="I2" s="6" t="s">
        <v>18</v>
      </c>
      <c r="J2" s="4" t="s">
        <v>19</v>
      </c>
      <c r="K2" s="7"/>
      <c r="L2" s="6"/>
    </row>
    <row r="3" spans="1:12" x14ac:dyDescent="0.3">
      <c r="A3" s="6" t="s">
        <v>12</v>
      </c>
      <c r="B3" s="6" t="s">
        <v>13</v>
      </c>
      <c r="C3" s="6" t="s">
        <v>20</v>
      </c>
      <c r="D3" s="4" t="s">
        <v>12</v>
      </c>
      <c r="E3" s="5" t="s">
        <v>21</v>
      </c>
      <c r="F3" s="4" t="s">
        <v>16</v>
      </c>
      <c r="G3" s="6" t="s">
        <v>22</v>
      </c>
      <c r="H3" s="6" t="s">
        <v>23</v>
      </c>
      <c r="I3" s="6" t="s">
        <v>24</v>
      </c>
      <c r="J3" s="4" t="s">
        <v>19</v>
      </c>
      <c r="K3" s="7"/>
      <c r="L3" s="6"/>
    </row>
    <row r="4" spans="1:12" ht="25.5" customHeight="1" x14ac:dyDescent="0.3">
      <c r="A4" s="6" t="s">
        <v>12</v>
      </c>
      <c r="B4" s="6" t="s">
        <v>25</v>
      </c>
      <c r="C4" s="6" t="s">
        <v>26</v>
      </c>
      <c r="D4" s="4" t="s">
        <v>12</v>
      </c>
      <c r="E4" s="5" t="s">
        <v>21</v>
      </c>
      <c r="F4" s="4" t="s">
        <v>16</v>
      </c>
      <c r="G4" s="6" t="s">
        <v>27</v>
      </c>
      <c r="H4" s="6" t="s">
        <v>23</v>
      </c>
      <c r="I4" s="6" t="s">
        <v>28</v>
      </c>
      <c r="J4" s="4" t="s">
        <v>19</v>
      </c>
      <c r="K4" s="7"/>
      <c r="L4" s="6"/>
    </row>
    <row r="5" spans="1:12" ht="40.5" customHeight="1" x14ac:dyDescent="0.3">
      <c r="A5" s="2" t="s">
        <v>29</v>
      </c>
      <c r="B5" s="3" t="s">
        <v>30</v>
      </c>
      <c r="C5" s="3" t="s">
        <v>31</v>
      </c>
      <c r="D5" s="4" t="s">
        <v>32</v>
      </c>
      <c r="E5" s="5" t="s">
        <v>15</v>
      </c>
      <c r="F5" s="4" t="s">
        <v>16</v>
      </c>
      <c r="G5" s="6" t="s">
        <v>33</v>
      </c>
      <c r="H5" s="6" t="s">
        <v>34</v>
      </c>
      <c r="I5" s="6" t="s">
        <v>35</v>
      </c>
      <c r="J5" s="4" t="s">
        <v>19</v>
      </c>
      <c r="K5" s="7" t="s">
        <v>36</v>
      </c>
      <c r="L5" s="6" t="s">
        <v>37</v>
      </c>
    </row>
    <row r="6" spans="1:12" ht="40.5" customHeight="1" x14ac:dyDescent="0.3">
      <c r="A6" s="6" t="s">
        <v>29</v>
      </c>
      <c r="B6" s="6" t="s">
        <v>38</v>
      </c>
      <c r="C6" s="6" t="s">
        <v>39</v>
      </c>
      <c r="D6" s="4" t="s">
        <v>32</v>
      </c>
      <c r="E6" s="5" t="s">
        <v>15</v>
      </c>
      <c r="F6" s="4" t="s">
        <v>40</v>
      </c>
      <c r="G6" s="6" t="s">
        <v>41</v>
      </c>
      <c r="H6" s="6" t="s">
        <v>34</v>
      </c>
      <c r="I6" s="6" t="s">
        <v>42</v>
      </c>
      <c r="J6" s="4" t="s">
        <v>19</v>
      </c>
      <c r="K6" s="7" t="s">
        <v>36</v>
      </c>
      <c r="L6" s="6" t="s">
        <v>37</v>
      </c>
    </row>
    <row r="7" spans="1:12" ht="40.5" customHeight="1" x14ac:dyDescent="0.3">
      <c r="A7" s="6" t="s">
        <v>29</v>
      </c>
      <c r="B7" s="6" t="s">
        <v>43</v>
      </c>
      <c r="C7" s="6" t="s">
        <v>44</v>
      </c>
      <c r="D7" s="4" t="s">
        <v>32</v>
      </c>
      <c r="E7" s="5" t="s">
        <v>15</v>
      </c>
      <c r="F7" s="4" t="s">
        <v>16</v>
      </c>
      <c r="G7" s="6" t="s">
        <v>33</v>
      </c>
      <c r="H7" s="6" t="s">
        <v>34</v>
      </c>
      <c r="I7" s="6" t="s">
        <v>45</v>
      </c>
      <c r="J7" s="4" t="s">
        <v>19</v>
      </c>
      <c r="K7" s="7" t="s">
        <v>36</v>
      </c>
      <c r="L7" s="6" t="s">
        <v>37</v>
      </c>
    </row>
    <row r="8" spans="1:12" x14ac:dyDescent="0.3">
      <c r="A8" s="6" t="s">
        <v>29</v>
      </c>
      <c r="B8" s="6" t="s">
        <v>46</v>
      </c>
      <c r="C8" s="6" t="s">
        <v>47</v>
      </c>
      <c r="D8" s="4" t="s">
        <v>32</v>
      </c>
      <c r="E8" s="5" t="s">
        <v>15</v>
      </c>
      <c r="F8" s="4" t="s">
        <v>40</v>
      </c>
      <c r="G8" s="6" t="s">
        <v>48</v>
      </c>
      <c r="H8" s="6" t="s">
        <v>17</v>
      </c>
      <c r="I8" s="6" t="s">
        <v>49</v>
      </c>
      <c r="J8" s="4" t="s">
        <v>19</v>
      </c>
      <c r="K8" s="17" t="s">
        <v>50</v>
      </c>
      <c r="L8" s="6" t="s">
        <v>51</v>
      </c>
    </row>
    <row r="9" spans="1:12" x14ac:dyDescent="0.3">
      <c r="A9" s="2" t="s">
        <v>52</v>
      </c>
      <c r="B9" s="3" t="s">
        <v>53</v>
      </c>
      <c r="C9" s="3" t="s">
        <v>54</v>
      </c>
      <c r="D9" s="4" t="s">
        <v>32</v>
      </c>
      <c r="E9" s="5" t="s">
        <v>55</v>
      </c>
      <c r="F9" s="4" t="s">
        <v>16</v>
      </c>
      <c r="G9" s="6" t="s">
        <v>56</v>
      </c>
      <c r="H9" s="6" t="s">
        <v>57</v>
      </c>
      <c r="I9" s="6" t="s">
        <v>58</v>
      </c>
      <c r="J9" s="4" t="s">
        <v>59</v>
      </c>
      <c r="K9" s="7"/>
      <c r="L9" s="6"/>
    </row>
    <row r="10" spans="1:12" x14ac:dyDescent="0.3">
      <c r="A10" s="6" t="s">
        <v>52</v>
      </c>
      <c r="B10" s="6" t="s">
        <v>60</v>
      </c>
      <c r="C10" s="6" t="s">
        <v>61</v>
      </c>
      <c r="D10" s="4" t="s">
        <v>32</v>
      </c>
      <c r="E10" s="5" t="s">
        <v>55</v>
      </c>
      <c r="F10" s="4" t="s">
        <v>16</v>
      </c>
      <c r="G10" s="6" t="s">
        <v>62</v>
      </c>
      <c r="H10" s="6" t="s">
        <v>57</v>
      </c>
      <c r="I10" s="6" t="s">
        <v>63</v>
      </c>
      <c r="J10" s="4" t="s">
        <v>59</v>
      </c>
      <c r="K10" s="7"/>
      <c r="L10" s="6"/>
    </row>
    <row r="11" spans="1:12" ht="25.5" customHeight="1" x14ac:dyDescent="0.3">
      <c r="A11" s="6" t="s">
        <v>52</v>
      </c>
      <c r="B11" s="6" t="s">
        <v>64</v>
      </c>
      <c r="C11" s="6" t="s">
        <v>65</v>
      </c>
      <c r="D11" s="4" t="s">
        <v>32</v>
      </c>
      <c r="E11" s="5" t="s">
        <v>66</v>
      </c>
      <c r="F11" s="4" t="s">
        <v>16</v>
      </c>
      <c r="G11" s="6" t="s">
        <v>67</v>
      </c>
      <c r="H11" s="6" t="s">
        <v>68</v>
      </c>
      <c r="I11" s="6" t="s">
        <v>69</v>
      </c>
      <c r="J11" s="4" t="s">
        <v>19</v>
      </c>
      <c r="K11" s="7"/>
      <c r="L11" s="6"/>
    </row>
    <row r="12" spans="1:12" ht="25.5" customHeight="1" x14ac:dyDescent="0.3">
      <c r="A12" s="6" t="s">
        <v>52</v>
      </c>
      <c r="B12" s="6" t="s">
        <v>70</v>
      </c>
      <c r="C12" s="6" t="s">
        <v>71</v>
      </c>
      <c r="D12" s="4" t="s">
        <v>32</v>
      </c>
      <c r="E12" s="5" t="s">
        <v>66</v>
      </c>
      <c r="F12" s="4" t="s">
        <v>16</v>
      </c>
      <c r="G12" s="6" t="s">
        <v>72</v>
      </c>
      <c r="H12" s="6" t="s">
        <v>68</v>
      </c>
      <c r="I12" s="6" t="s">
        <v>73</v>
      </c>
      <c r="J12" s="4" t="s">
        <v>19</v>
      </c>
      <c r="K12" s="7"/>
      <c r="L12" s="6"/>
    </row>
    <row r="13" spans="1:12" ht="27" customHeight="1" x14ac:dyDescent="0.3">
      <c r="A13" s="6" t="s">
        <v>52</v>
      </c>
      <c r="B13" s="6" t="s">
        <v>74</v>
      </c>
      <c r="C13" s="6" t="s">
        <v>75</v>
      </c>
      <c r="D13" s="4" t="s">
        <v>32</v>
      </c>
      <c r="E13" s="5" t="s">
        <v>15</v>
      </c>
      <c r="F13" s="4" t="s">
        <v>16</v>
      </c>
      <c r="G13" s="6" t="s">
        <v>76</v>
      </c>
      <c r="H13" s="6" t="s">
        <v>17</v>
      </c>
      <c r="I13" s="6" t="s">
        <v>77</v>
      </c>
      <c r="J13" s="4" t="s">
        <v>19</v>
      </c>
      <c r="K13" s="17" t="s">
        <v>78</v>
      </c>
      <c r="L13" s="6" t="s">
        <v>79</v>
      </c>
    </row>
    <row r="14" spans="1:12" ht="25.5" customHeight="1" x14ac:dyDescent="0.3">
      <c r="A14" s="6" t="s">
        <v>52</v>
      </c>
      <c r="B14" s="6" t="s">
        <v>80</v>
      </c>
      <c r="C14" s="6" t="s">
        <v>81</v>
      </c>
      <c r="D14" s="4" t="s">
        <v>32</v>
      </c>
      <c r="E14" s="5" t="s">
        <v>66</v>
      </c>
      <c r="F14" s="4" t="s">
        <v>16</v>
      </c>
      <c r="G14" s="6" t="s">
        <v>82</v>
      </c>
      <c r="H14" s="6" t="s">
        <v>68</v>
      </c>
      <c r="I14" s="6" t="s">
        <v>83</v>
      </c>
      <c r="J14" s="4" t="s">
        <v>19</v>
      </c>
      <c r="K14" s="7"/>
      <c r="L14" s="6"/>
    </row>
    <row r="15" spans="1:12" ht="25.5" customHeight="1" x14ac:dyDescent="0.3">
      <c r="A15" s="6" t="s">
        <v>52</v>
      </c>
      <c r="B15" s="6" t="s">
        <v>84</v>
      </c>
      <c r="C15" s="6" t="s">
        <v>85</v>
      </c>
      <c r="D15" s="4" t="s">
        <v>32</v>
      </c>
      <c r="E15" s="5" t="s">
        <v>66</v>
      </c>
      <c r="F15" s="4" t="s">
        <v>16</v>
      </c>
      <c r="G15" s="6" t="s">
        <v>86</v>
      </c>
      <c r="H15" s="6" t="s">
        <v>87</v>
      </c>
      <c r="I15" s="6" t="s">
        <v>88</v>
      </c>
      <c r="J15" s="4" t="s">
        <v>19</v>
      </c>
      <c r="K15" s="7" t="s">
        <v>89</v>
      </c>
      <c r="L15" s="6" t="s">
        <v>90</v>
      </c>
    </row>
    <row r="16" spans="1:12" x14ac:dyDescent="0.3">
      <c r="A16" s="6" t="s">
        <v>52</v>
      </c>
      <c r="B16" s="6" t="s">
        <v>91</v>
      </c>
      <c r="C16" s="6" t="s">
        <v>92</v>
      </c>
      <c r="D16" s="4" t="s">
        <v>32</v>
      </c>
      <c r="E16" s="5" t="s">
        <v>93</v>
      </c>
      <c r="F16" s="4" t="s">
        <v>16</v>
      </c>
      <c r="G16" s="6" t="s">
        <v>94</v>
      </c>
      <c r="H16" s="6" t="s">
        <v>95</v>
      </c>
      <c r="I16" s="6" t="s">
        <v>96</v>
      </c>
      <c r="J16" s="4" t="s">
        <v>19</v>
      </c>
      <c r="K16" s="7"/>
      <c r="L16" s="6"/>
    </row>
    <row r="17" spans="1:12" x14ac:dyDescent="0.3">
      <c r="A17" s="6" t="s">
        <v>52</v>
      </c>
      <c r="B17" s="6" t="s">
        <v>97</v>
      </c>
      <c r="C17" s="6" t="s">
        <v>98</v>
      </c>
      <c r="D17" s="4" t="s">
        <v>32</v>
      </c>
      <c r="E17" s="5" t="s">
        <v>15</v>
      </c>
      <c r="F17" s="4" t="s">
        <v>16</v>
      </c>
      <c r="G17" s="6" t="s">
        <v>99</v>
      </c>
      <c r="H17" s="6" t="s">
        <v>17</v>
      </c>
      <c r="I17" s="6" t="s">
        <v>100</v>
      </c>
      <c r="J17" s="4" t="s">
        <v>19</v>
      </c>
      <c r="K17" s="7"/>
      <c r="L17" s="6"/>
    </row>
    <row r="18" spans="1:12" ht="25.5" x14ac:dyDescent="0.3">
      <c r="A18" s="6" t="s">
        <v>52</v>
      </c>
      <c r="B18" s="6" t="s">
        <v>101</v>
      </c>
      <c r="C18" s="6" t="s">
        <v>102</v>
      </c>
      <c r="D18" s="4" t="s">
        <v>32</v>
      </c>
      <c r="E18" s="5" t="s">
        <v>15</v>
      </c>
      <c r="F18" s="4" t="s">
        <v>16</v>
      </c>
      <c r="G18" s="6" t="s">
        <v>103</v>
      </c>
      <c r="H18" s="6" t="s">
        <v>104</v>
      </c>
      <c r="I18" s="6" t="s">
        <v>105</v>
      </c>
      <c r="J18" s="4" t="s">
        <v>19</v>
      </c>
      <c r="K18" s="7"/>
      <c r="L18" s="6" t="s">
        <v>106</v>
      </c>
    </row>
    <row r="19" spans="1:12" ht="25.5" x14ac:dyDescent="0.3">
      <c r="A19" s="6" t="s">
        <v>52</v>
      </c>
      <c r="B19" s="6" t="s">
        <v>107</v>
      </c>
      <c r="C19" s="6" t="s">
        <v>108</v>
      </c>
      <c r="D19" s="4" t="s">
        <v>32</v>
      </c>
      <c r="E19" s="5" t="s">
        <v>15</v>
      </c>
      <c r="F19" s="4" t="s">
        <v>16</v>
      </c>
      <c r="G19" s="6" t="s">
        <v>109</v>
      </c>
      <c r="H19" s="6" t="s">
        <v>104</v>
      </c>
      <c r="I19" s="6" t="s">
        <v>110</v>
      </c>
      <c r="J19" s="4" t="s">
        <v>19</v>
      </c>
      <c r="K19" s="7"/>
      <c r="L19" s="6" t="s">
        <v>111</v>
      </c>
    </row>
    <row r="20" spans="1:12" x14ac:dyDescent="0.3">
      <c r="A20" s="6" t="s">
        <v>52</v>
      </c>
      <c r="B20" s="6" t="s">
        <v>112</v>
      </c>
      <c r="C20" s="6" t="s">
        <v>113</v>
      </c>
      <c r="D20" s="4" t="s">
        <v>32</v>
      </c>
      <c r="E20" s="5" t="s">
        <v>15</v>
      </c>
      <c r="F20" s="4" t="s">
        <v>16</v>
      </c>
      <c r="G20" s="6" t="s">
        <v>114</v>
      </c>
      <c r="H20" s="6" t="s">
        <v>17</v>
      </c>
      <c r="I20" s="6" t="s">
        <v>115</v>
      </c>
      <c r="J20" s="4" t="s">
        <v>59</v>
      </c>
      <c r="K20" s="7"/>
      <c r="L20" s="6"/>
    </row>
    <row r="21" spans="1:12" x14ac:dyDescent="0.3">
      <c r="A21" s="6" t="s">
        <v>52</v>
      </c>
      <c r="B21" s="6" t="s">
        <v>116</v>
      </c>
      <c r="C21" s="6" t="s">
        <v>117</v>
      </c>
      <c r="D21" s="4" t="s">
        <v>32</v>
      </c>
      <c r="E21" s="5" t="s">
        <v>15</v>
      </c>
      <c r="F21" s="4" t="s">
        <v>16</v>
      </c>
      <c r="G21" s="6" t="s">
        <v>118</v>
      </c>
      <c r="H21" s="6" t="s">
        <v>17</v>
      </c>
      <c r="I21" s="6" t="s">
        <v>119</v>
      </c>
      <c r="J21" s="4" t="s">
        <v>59</v>
      </c>
      <c r="K21" s="7"/>
      <c r="L21" s="6"/>
    </row>
    <row r="22" spans="1:12" x14ac:dyDescent="0.3">
      <c r="A22" s="6" t="s">
        <v>52</v>
      </c>
      <c r="B22" s="6" t="s">
        <v>120</v>
      </c>
      <c r="C22" s="6" t="s">
        <v>121</v>
      </c>
      <c r="D22" s="4" t="s">
        <v>32</v>
      </c>
      <c r="E22" s="5" t="s">
        <v>15</v>
      </c>
      <c r="F22" s="4" t="s">
        <v>16</v>
      </c>
      <c r="G22" s="6" t="s">
        <v>118</v>
      </c>
      <c r="H22" s="6" t="s">
        <v>17</v>
      </c>
      <c r="I22" s="6" t="s">
        <v>122</v>
      </c>
      <c r="J22" s="4" t="s">
        <v>59</v>
      </c>
      <c r="K22" s="7"/>
      <c r="L22" s="6"/>
    </row>
    <row r="23" spans="1:12" x14ac:dyDescent="0.3">
      <c r="A23" s="6" t="s">
        <v>52</v>
      </c>
      <c r="B23" s="6" t="s">
        <v>123</v>
      </c>
      <c r="C23" s="6" t="s">
        <v>124</v>
      </c>
      <c r="D23" s="4" t="s">
        <v>32</v>
      </c>
      <c r="E23" s="5" t="s">
        <v>15</v>
      </c>
      <c r="F23" s="4" t="s">
        <v>16</v>
      </c>
      <c r="G23" s="6" t="s">
        <v>125</v>
      </c>
      <c r="H23" s="6" t="s">
        <v>17</v>
      </c>
      <c r="I23" s="6" t="s">
        <v>126</v>
      </c>
      <c r="J23" s="4" t="s">
        <v>59</v>
      </c>
      <c r="K23" s="7"/>
      <c r="L23" s="6"/>
    </row>
    <row r="24" spans="1:12" ht="25.5" x14ac:dyDescent="0.3">
      <c r="A24" s="6" t="s">
        <v>52</v>
      </c>
      <c r="B24" s="6" t="s">
        <v>127</v>
      </c>
      <c r="C24" s="6" t="s">
        <v>128</v>
      </c>
      <c r="D24" s="4" t="s">
        <v>32</v>
      </c>
      <c r="E24" s="5" t="s">
        <v>15</v>
      </c>
      <c r="F24" s="4" t="s">
        <v>16</v>
      </c>
      <c r="G24" s="6" t="s">
        <v>129</v>
      </c>
      <c r="H24" s="6" t="s">
        <v>104</v>
      </c>
      <c r="I24" s="6" t="s">
        <v>130</v>
      </c>
      <c r="J24" s="4" t="s">
        <v>19</v>
      </c>
      <c r="K24" s="7"/>
      <c r="L24" s="6" t="s">
        <v>131</v>
      </c>
    </row>
    <row r="25" spans="1:12" x14ac:dyDescent="0.3">
      <c r="A25" s="6" t="s">
        <v>52</v>
      </c>
      <c r="B25" s="6" t="s">
        <v>132</v>
      </c>
      <c r="C25" s="6" t="s">
        <v>133</v>
      </c>
      <c r="D25" s="4" t="s">
        <v>32</v>
      </c>
      <c r="E25" s="5" t="s">
        <v>15</v>
      </c>
      <c r="F25" s="4" t="s">
        <v>40</v>
      </c>
      <c r="G25" s="6" t="s">
        <v>134</v>
      </c>
      <c r="H25" s="6" t="s">
        <v>17</v>
      </c>
      <c r="I25" s="6" t="s">
        <v>135</v>
      </c>
      <c r="J25" s="4" t="s">
        <v>59</v>
      </c>
      <c r="K25" s="7"/>
      <c r="L25" s="6"/>
    </row>
    <row r="26" spans="1:12" x14ac:dyDescent="0.3">
      <c r="A26" s="6" t="s">
        <v>52</v>
      </c>
      <c r="B26" s="6" t="s">
        <v>136</v>
      </c>
      <c r="C26" s="6" t="s">
        <v>137</v>
      </c>
      <c r="D26" s="4" t="s">
        <v>32</v>
      </c>
      <c r="E26" s="5" t="s">
        <v>15</v>
      </c>
      <c r="F26" s="4" t="s">
        <v>40</v>
      </c>
      <c r="G26" s="6" t="s">
        <v>138</v>
      </c>
      <c r="H26" s="6" t="s">
        <v>17</v>
      </c>
      <c r="I26" s="6" t="s">
        <v>135</v>
      </c>
      <c r="J26" s="4" t="s">
        <v>59</v>
      </c>
      <c r="K26" s="7"/>
      <c r="L26" s="6"/>
    </row>
    <row r="27" spans="1:12" x14ac:dyDescent="0.3">
      <c r="A27" s="6" t="s">
        <v>52</v>
      </c>
      <c r="B27" s="6" t="s">
        <v>139</v>
      </c>
      <c r="C27" s="6" t="s">
        <v>140</v>
      </c>
      <c r="D27" s="4" t="s">
        <v>32</v>
      </c>
      <c r="E27" s="5" t="s">
        <v>55</v>
      </c>
      <c r="F27" s="4" t="s">
        <v>40</v>
      </c>
      <c r="G27" s="6" t="s">
        <v>141</v>
      </c>
      <c r="H27" s="6" t="s">
        <v>57</v>
      </c>
      <c r="I27" s="6" t="s">
        <v>49</v>
      </c>
      <c r="J27" s="4" t="s">
        <v>19</v>
      </c>
      <c r="K27" s="17" t="s">
        <v>142</v>
      </c>
      <c r="L27" s="6" t="s">
        <v>143</v>
      </c>
    </row>
    <row r="28" spans="1:12" x14ac:dyDescent="0.3">
      <c r="A28" s="6" t="s">
        <v>52</v>
      </c>
      <c r="B28" s="6" t="s">
        <v>144</v>
      </c>
      <c r="C28" s="6" t="s">
        <v>145</v>
      </c>
      <c r="D28" s="4" t="s">
        <v>146</v>
      </c>
      <c r="E28" s="5" t="s">
        <v>93</v>
      </c>
      <c r="F28" s="4" t="s">
        <v>16</v>
      </c>
      <c r="G28" s="6" t="s">
        <v>147</v>
      </c>
      <c r="H28" s="6" t="s">
        <v>95</v>
      </c>
      <c r="I28" s="6" t="s">
        <v>148</v>
      </c>
      <c r="J28" s="4" t="s">
        <v>19</v>
      </c>
      <c r="K28" s="7"/>
      <c r="L28" s="6"/>
    </row>
    <row r="29" spans="1:12" x14ac:dyDescent="0.3">
      <c r="A29" s="6" t="s">
        <v>52</v>
      </c>
      <c r="B29" s="6" t="s">
        <v>149</v>
      </c>
      <c r="C29" s="6" t="s">
        <v>150</v>
      </c>
      <c r="D29" s="4" t="s">
        <v>146</v>
      </c>
      <c r="E29" s="5" t="s">
        <v>93</v>
      </c>
      <c r="F29" s="4" t="s">
        <v>16</v>
      </c>
      <c r="G29" s="6" t="s">
        <v>151</v>
      </c>
      <c r="H29" s="6" t="s">
        <v>95</v>
      </c>
      <c r="I29" s="6" t="s">
        <v>152</v>
      </c>
      <c r="J29" s="4" t="s">
        <v>19</v>
      </c>
      <c r="K29" s="7"/>
      <c r="L29" s="6"/>
    </row>
    <row r="30" spans="1:12" x14ac:dyDescent="0.3">
      <c r="A30" s="6" t="s">
        <v>52</v>
      </c>
      <c r="B30" s="6" t="s">
        <v>153</v>
      </c>
      <c r="C30" s="6" t="s">
        <v>154</v>
      </c>
      <c r="D30" s="4" t="s">
        <v>32</v>
      </c>
      <c r="E30" s="5" t="s">
        <v>93</v>
      </c>
      <c r="F30" s="4" t="s">
        <v>16</v>
      </c>
      <c r="G30" s="6" t="s">
        <v>155</v>
      </c>
      <c r="H30" s="6" t="s">
        <v>95</v>
      </c>
      <c r="I30" s="6" t="s">
        <v>156</v>
      </c>
      <c r="J30" s="4" t="s">
        <v>19</v>
      </c>
      <c r="K30" s="7"/>
      <c r="L30" s="6"/>
    </row>
    <row r="31" spans="1:12" ht="25.5" customHeight="1" x14ac:dyDescent="0.3">
      <c r="A31" s="6" t="s">
        <v>52</v>
      </c>
      <c r="B31" s="6" t="s">
        <v>157</v>
      </c>
      <c r="C31" s="6" t="s">
        <v>158</v>
      </c>
      <c r="D31" s="4" t="s">
        <v>59</v>
      </c>
      <c r="E31" s="5" t="s">
        <v>93</v>
      </c>
      <c r="F31" s="4" t="s">
        <v>16</v>
      </c>
      <c r="G31" s="6"/>
      <c r="H31" s="6" t="s">
        <v>95</v>
      </c>
      <c r="I31" s="6" t="s">
        <v>159</v>
      </c>
      <c r="J31" s="4" t="s">
        <v>19</v>
      </c>
      <c r="K31" s="7"/>
      <c r="L31" s="6"/>
    </row>
    <row r="32" spans="1:12" x14ac:dyDescent="0.3">
      <c r="A32" s="6" t="s">
        <v>52</v>
      </c>
      <c r="B32" s="6" t="s">
        <v>160</v>
      </c>
      <c r="C32" s="6" t="s">
        <v>161</v>
      </c>
      <c r="D32" s="4" t="s">
        <v>162</v>
      </c>
      <c r="E32" s="5" t="s">
        <v>93</v>
      </c>
      <c r="F32" s="4" t="s">
        <v>16</v>
      </c>
      <c r="G32" s="6"/>
      <c r="H32" s="6" t="s">
        <v>95</v>
      </c>
      <c r="I32" s="6" t="s">
        <v>163</v>
      </c>
      <c r="J32" s="4" t="s">
        <v>19</v>
      </c>
      <c r="K32" s="7"/>
      <c r="L32" s="6"/>
    </row>
    <row r="33" spans="1:12" x14ac:dyDescent="0.3">
      <c r="A33" s="6" t="s">
        <v>52</v>
      </c>
      <c r="B33" s="6" t="s">
        <v>164</v>
      </c>
      <c r="C33" s="6" t="s">
        <v>165</v>
      </c>
      <c r="D33" s="4" t="s">
        <v>166</v>
      </c>
      <c r="E33" s="5" t="s">
        <v>167</v>
      </c>
      <c r="F33" s="4" t="s">
        <v>16</v>
      </c>
      <c r="G33" s="6" t="s">
        <v>168</v>
      </c>
      <c r="H33" s="6" t="s">
        <v>169</v>
      </c>
      <c r="I33" s="6" t="s">
        <v>170</v>
      </c>
      <c r="J33" s="4" t="s">
        <v>19</v>
      </c>
      <c r="K33" s="7"/>
      <c r="L33" s="6"/>
    </row>
    <row r="34" spans="1:12" x14ac:dyDescent="0.3">
      <c r="A34" s="6" t="s">
        <v>52</v>
      </c>
      <c r="B34" s="6" t="s">
        <v>171</v>
      </c>
      <c r="C34" s="6" t="s">
        <v>172</v>
      </c>
      <c r="D34" s="4" t="s">
        <v>166</v>
      </c>
      <c r="E34" s="5" t="s">
        <v>167</v>
      </c>
      <c r="F34" s="4" t="s">
        <v>16</v>
      </c>
      <c r="G34" s="6" t="s">
        <v>168</v>
      </c>
      <c r="H34" s="6" t="s">
        <v>169</v>
      </c>
      <c r="I34" s="6" t="s">
        <v>173</v>
      </c>
      <c r="J34" s="4" t="s">
        <v>19</v>
      </c>
      <c r="K34" s="7"/>
      <c r="L34" s="6"/>
    </row>
    <row r="35" spans="1:12" ht="38.25" x14ac:dyDescent="0.3">
      <c r="A35" s="2" t="s">
        <v>174</v>
      </c>
      <c r="B35" s="3" t="s">
        <v>175</v>
      </c>
      <c r="C35" s="3" t="s">
        <v>176</v>
      </c>
      <c r="D35" s="4" t="s">
        <v>59</v>
      </c>
      <c r="E35" s="5" t="s">
        <v>15</v>
      </c>
      <c r="F35" s="4" t="s">
        <v>16</v>
      </c>
      <c r="G35" s="6" t="s">
        <v>177</v>
      </c>
      <c r="H35" s="6" t="s">
        <v>104</v>
      </c>
      <c r="I35" s="6" t="s">
        <v>178</v>
      </c>
      <c r="J35" s="4" t="s">
        <v>19</v>
      </c>
      <c r="K35" s="7"/>
      <c r="L35" s="6" t="s">
        <v>179</v>
      </c>
    </row>
    <row r="36" spans="1:12" ht="25.5" x14ac:dyDescent="0.3">
      <c r="A36" s="6" t="s">
        <v>174</v>
      </c>
      <c r="B36" s="6" t="s">
        <v>180</v>
      </c>
      <c r="C36" s="6" t="s">
        <v>181</v>
      </c>
      <c r="D36" s="4" t="s">
        <v>59</v>
      </c>
      <c r="E36" s="5" t="s">
        <v>93</v>
      </c>
      <c r="F36" s="4" t="s">
        <v>40</v>
      </c>
      <c r="G36" s="6" t="s">
        <v>182</v>
      </c>
      <c r="H36" s="6" t="s">
        <v>95</v>
      </c>
      <c r="I36" s="6" t="s">
        <v>183</v>
      </c>
      <c r="J36" s="4" t="s">
        <v>19</v>
      </c>
      <c r="K36" s="7"/>
      <c r="L36" s="6" t="s">
        <v>184</v>
      </c>
    </row>
    <row r="37" spans="1:12" x14ac:dyDescent="0.3">
      <c r="A37" s="6" t="s">
        <v>174</v>
      </c>
      <c r="B37" s="6" t="s">
        <v>185</v>
      </c>
      <c r="C37" s="6" t="s">
        <v>186</v>
      </c>
      <c r="D37" s="4" t="s">
        <v>59</v>
      </c>
      <c r="E37" s="5" t="s">
        <v>93</v>
      </c>
      <c r="F37" s="4" t="s">
        <v>16</v>
      </c>
      <c r="G37" s="6" t="s">
        <v>187</v>
      </c>
      <c r="H37" s="6" t="s">
        <v>95</v>
      </c>
      <c r="I37" s="6" t="s">
        <v>188</v>
      </c>
      <c r="J37" s="4" t="s">
        <v>59</v>
      </c>
      <c r="K37" s="7"/>
      <c r="L37" s="6"/>
    </row>
    <row r="38" spans="1:12" x14ac:dyDescent="0.3">
      <c r="A38" s="6" t="s">
        <v>174</v>
      </c>
      <c r="B38" s="6" t="s">
        <v>189</v>
      </c>
      <c r="C38" s="6" t="s">
        <v>190</v>
      </c>
      <c r="D38" s="4" t="s">
        <v>59</v>
      </c>
      <c r="E38" s="5" t="s">
        <v>93</v>
      </c>
      <c r="F38" s="4" t="s">
        <v>16</v>
      </c>
      <c r="G38" s="6"/>
      <c r="H38" s="6" t="s">
        <v>95</v>
      </c>
      <c r="I38" s="6" t="s">
        <v>191</v>
      </c>
      <c r="J38" s="4" t="s">
        <v>19</v>
      </c>
      <c r="K38" s="7"/>
      <c r="L38" s="6"/>
    </row>
    <row r="39" spans="1:12" x14ac:dyDescent="0.3">
      <c r="A39" s="6" t="s">
        <v>174</v>
      </c>
      <c r="B39" s="6" t="s">
        <v>192</v>
      </c>
      <c r="C39" s="6" t="s">
        <v>193</v>
      </c>
      <c r="D39" s="4" t="s">
        <v>59</v>
      </c>
      <c r="E39" s="5" t="s">
        <v>93</v>
      </c>
      <c r="F39" s="4" t="s">
        <v>40</v>
      </c>
      <c r="G39" s="6" t="s">
        <v>194</v>
      </c>
      <c r="H39" s="6" t="s">
        <v>95</v>
      </c>
      <c r="I39" s="6" t="s">
        <v>183</v>
      </c>
      <c r="J39" s="4" t="s">
        <v>59</v>
      </c>
      <c r="K39" s="7"/>
      <c r="L39" s="6"/>
    </row>
    <row r="40" spans="1:12" x14ac:dyDescent="0.3">
      <c r="A40" s="6" t="s">
        <v>174</v>
      </c>
      <c r="B40" s="6" t="s">
        <v>195</v>
      </c>
      <c r="C40" s="6" t="s">
        <v>196</v>
      </c>
      <c r="D40" s="4" t="s">
        <v>59</v>
      </c>
      <c r="E40" s="5" t="s">
        <v>55</v>
      </c>
      <c r="F40" s="4" t="s">
        <v>16</v>
      </c>
      <c r="G40" s="6" t="s">
        <v>197</v>
      </c>
      <c r="H40" s="6" t="s">
        <v>57</v>
      </c>
      <c r="I40" s="6" t="s">
        <v>198</v>
      </c>
      <c r="J40" s="4" t="s">
        <v>59</v>
      </c>
      <c r="K40" s="7"/>
      <c r="L40" s="6"/>
    </row>
    <row r="41" spans="1:12" x14ac:dyDescent="0.3">
      <c r="A41" s="6" t="s">
        <v>174</v>
      </c>
      <c r="B41" s="6" t="s">
        <v>199</v>
      </c>
      <c r="C41" s="6" t="s">
        <v>200</v>
      </c>
      <c r="D41" s="4" t="s">
        <v>162</v>
      </c>
      <c r="E41" s="5" t="s">
        <v>55</v>
      </c>
      <c r="F41" s="4" t="s">
        <v>16</v>
      </c>
      <c r="G41" s="6"/>
      <c r="H41" s="6" t="s">
        <v>57</v>
      </c>
      <c r="I41" s="6" t="s">
        <v>201</v>
      </c>
      <c r="J41" s="4" t="s">
        <v>19</v>
      </c>
      <c r="K41" s="7"/>
      <c r="L41" s="6"/>
    </row>
    <row r="42" spans="1:12" x14ac:dyDescent="0.3">
      <c r="A42" s="6" t="s">
        <v>174</v>
      </c>
      <c r="B42" s="6" t="s">
        <v>202</v>
      </c>
      <c r="C42" s="6" t="s">
        <v>203</v>
      </c>
      <c r="D42" s="4" t="s">
        <v>162</v>
      </c>
      <c r="E42" s="5" t="s">
        <v>55</v>
      </c>
      <c r="F42" s="4" t="s">
        <v>16</v>
      </c>
      <c r="G42" s="6" t="s">
        <v>204</v>
      </c>
      <c r="H42" s="6" t="s">
        <v>57</v>
      </c>
      <c r="I42" s="6" t="s">
        <v>205</v>
      </c>
      <c r="J42" s="4" t="s">
        <v>19</v>
      </c>
      <c r="K42" s="7"/>
      <c r="L42" s="6"/>
    </row>
    <row r="43" spans="1:12" x14ac:dyDescent="0.3">
      <c r="A43" s="6" t="s">
        <v>174</v>
      </c>
      <c r="B43" s="6" t="s">
        <v>206</v>
      </c>
      <c r="C43" s="6" t="s">
        <v>207</v>
      </c>
      <c r="D43" s="4" t="s">
        <v>162</v>
      </c>
      <c r="E43" s="5" t="s">
        <v>55</v>
      </c>
      <c r="F43" s="4" t="s">
        <v>40</v>
      </c>
      <c r="G43" s="6"/>
      <c r="H43" s="6" t="s">
        <v>57</v>
      </c>
      <c r="I43" s="6" t="s">
        <v>183</v>
      </c>
      <c r="J43" s="4" t="s">
        <v>59</v>
      </c>
      <c r="K43" s="7"/>
      <c r="L43" s="6"/>
    </row>
    <row r="44" spans="1:12" ht="25.5" customHeight="1" x14ac:dyDescent="0.3">
      <c r="A44" s="6" t="s">
        <v>174</v>
      </c>
      <c r="B44" s="6" t="s">
        <v>208</v>
      </c>
      <c r="C44" s="6" t="s">
        <v>209</v>
      </c>
      <c r="D44" s="4" t="s">
        <v>162</v>
      </c>
      <c r="E44" s="5" t="s">
        <v>55</v>
      </c>
      <c r="F44" s="4" t="s">
        <v>16</v>
      </c>
      <c r="G44" s="6" t="s">
        <v>210</v>
      </c>
      <c r="H44" s="6" t="s">
        <v>57</v>
      </c>
      <c r="I44" s="6" t="s">
        <v>211</v>
      </c>
      <c r="J44" s="4" t="s">
        <v>19</v>
      </c>
      <c r="K44" s="7"/>
      <c r="L44" s="6"/>
    </row>
    <row r="45" spans="1:12" ht="25.5" customHeight="1" x14ac:dyDescent="0.3">
      <c r="A45" s="6" t="s">
        <v>174</v>
      </c>
      <c r="B45" s="6" t="s">
        <v>212</v>
      </c>
      <c r="C45" s="6" t="s">
        <v>213</v>
      </c>
      <c r="D45" s="4" t="s">
        <v>162</v>
      </c>
      <c r="E45" s="5" t="s">
        <v>66</v>
      </c>
      <c r="F45" s="4" t="s">
        <v>16</v>
      </c>
      <c r="G45" s="6" t="s">
        <v>214</v>
      </c>
      <c r="H45" s="6" t="s">
        <v>68</v>
      </c>
      <c r="I45" s="6"/>
      <c r="J45" s="4" t="s">
        <v>59</v>
      </c>
      <c r="K45" s="7"/>
      <c r="L45" s="6"/>
    </row>
    <row r="46" spans="1:12" ht="25.5" customHeight="1" x14ac:dyDescent="0.3">
      <c r="A46" s="6" t="s">
        <v>174</v>
      </c>
      <c r="B46" s="6" t="s">
        <v>215</v>
      </c>
      <c r="C46" s="6" t="s">
        <v>216</v>
      </c>
      <c r="D46" s="4" t="s">
        <v>162</v>
      </c>
      <c r="E46" s="5" t="s">
        <v>15</v>
      </c>
      <c r="F46" s="4" t="s">
        <v>16</v>
      </c>
      <c r="G46" s="6" t="s">
        <v>217</v>
      </c>
      <c r="H46" s="6" t="s">
        <v>17</v>
      </c>
      <c r="I46" s="6" t="s">
        <v>218</v>
      </c>
      <c r="J46" s="4" t="s">
        <v>19</v>
      </c>
      <c r="K46" s="7"/>
      <c r="L46" s="6" t="s">
        <v>219</v>
      </c>
    </row>
    <row r="47" spans="1:12" ht="25.5" customHeight="1" x14ac:dyDescent="0.3">
      <c r="A47" s="6" t="s">
        <v>174</v>
      </c>
      <c r="B47" s="6" t="s">
        <v>220</v>
      </c>
      <c r="C47" s="6" t="s">
        <v>221</v>
      </c>
      <c r="D47" s="4" t="s">
        <v>162</v>
      </c>
      <c r="E47" s="5" t="s">
        <v>66</v>
      </c>
      <c r="F47" s="4" t="s">
        <v>16</v>
      </c>
      <c r="G47" s="6" t="s">
        <v>214</v>
      </c>
      <c r="H47" s="6" t="s">
        <v>68</v>
      </c>
      <c r="I47" s="6"/>
      <c r="J47" s="4" t="s">
        <v>59</v>
      </c>
      <c r="K47" s="7"/>
      <c r="L47" s="6"/>
    </row>
    <row r="48" spans="1:12" ht="25.5" customHeight="1" x14ac:dyDescent="0.3">
      <c r="A48" s="6" t="s">
        <v>174</v>
      </c>
      <c r="B48" s="6" t="s">
        <v>222</v>
      </c>
      <c r="C48" s="6" t="s">
        <v>223</v>
      </c>
      <c r="D48" s="4" t="s">
        <v>162</v>
      </c>
      <c r="E48" s="5" t="s">
        <v>66</v>
      </c>
      <c r="F48" s="4" t="s">
        <v>40</v>
      </c>
      <c r="G48" s="6" t="s">
        <v>224</v>
      </c>
      <c r="H48" s="6" t="s">
        <v>68</v>
      </c>
      <c r="I48" s="6" t="s">
        <v>183</v>
      </c>
      <c r="J48" s="4" t="s">
        <v>59</v>
      </c>
      <c r="K48" s="7"/>
      <c r="L48" s="6"/>
    </row>
    <row r="49" spans="1:12" x14ac:dyDescent="0.3">
      <c r="A49" s="6" t="s">
        <v>174</v>
      </c>
      <c r="B49" s="6" t="s">
        <v>225</v>
      </c>
      <c r="C49" s="6" t="s">
        <v>226</v>
      </c>
      <c r="D49" s="4" t="s">
        <v>162</v>
      </c>
      <c r="E49" s="5" t="s">
        <v>93</v>
      </c>
      <c r="F49" s="4" t="s">
        <v>16</v>
      </c>
      <c r="G49" s="6" t="s">
        <v>227</v>
      </c>
      <c r="H49" s="6" t="s">
        <v>95</v>
      </c>
      <c r="I49" s="6" t="s">
        <v>228</v>
      </c>
      <c r="J49" s="4" t="s">
        <v>59</v>
      </c>
      <c r="K49" s="7"/>
      <c r="L49" s="6"/>
    </row>
    <row r="50" spans="1:12" x14ac:dyDescent="0.3">
      <c r="A50" s="6" t="s">
        <v>174</v>
      </c>
      <c r="B50" s="6" t="s">
        <v>229</v>
      </c>
      <c r="C50" s="6" t="s">
        <v>230</v>
      </c>
      <c r="D50" s="4" t="s">
        <v>162</v>
      </c>
      <c r="E50" s="5" t="s">
        <v>93</v>
      </c>
      <c r="F50" s="4" t="s">
        <v>40</v>
      </c>
      <c r="G50" s="6" t="s">
        <v>231</v>
      </c>
      <c r="H50" s="6" t="s">
        <v>95</v>
      </c>
      <c r="I50" s="6" t="s">
        <v>183</v>
      </c>
      <c r="J50" s="4" t="s">
        <v>19</v>
      </c>
      <c r="K50" s="7"/>
      <c r="L50" s="6"/>
    </row>
    <row r="51" spans="1:12" x14ac:dyDescent="0.3">
      <c r="A51" s="6" t="s">
        <v>174</v>
      </c>
      <c r="B51" s="6" t="s">
        <v>232</v>
      </c>
      <c r="C51" s="6" t="s">
        <v>233</v>
      </c>
      <c r="D51" s="4" t="s">
        <v>162</v>
      </c>
      <c r="E51" s="5" t="s">
        <v>93</v>
      </c>
      <c r="F51" s="4" t="s">
        <v>40</v>
      </c>
      <c r="G51" s="6" t="s">
        <v>234</v>
      </c>
      <c r="H51" s="6" t="s">
        <v>95</v>
      </c>
      <c r="I51" s="6" t="s">
        <v>183</v>
      </c>
      <c r="J51" s="4" t="s">
        <v>19</v>
      </c>
      <c r="K51" s="7"/>
      <c r="L51" s="6"/>
    </row>
    <row r="52" spans="1:12" x14ac:dyDescent="0.3">
      <c r="A52" s="6" t="s">
        <v>174</v>
      </c>
      <c r="B52" s="6" t="s">
        <v>235</v>
      </c>
      <c r="C52" s="6" t="s">
        <v>236</v>
      </c>
      <c r="D52" s="4" t="s">
        <v>162</v>
      </c>
      <c r="E52" s="5" t="s">
        <v>93</v>
      </c>
      <c r="F52" s="4" t="s">
        <v>40</v>
      </c>
      <c r="G52" s="6" t="s">
        <v>237</v>
      </c>
      <c r="H52" s="6" t="s">
        <v>95</v>
      </c>
      <c r="I52" s="6" t="s">
        <v>183</v>
      </c>
      <c r="J52" s="4" t="s">
        <v>19</v>
      </c>
      <c r="K52" s="7"/>
      <c r="L52" s="6"/>
    </row>
    <row r="53" spans="1:12" x14ac:dyDescent="0.3">
      <c r="A53" s="2" t="s">
        <v>238</v>
      </c>
      <c r="B53" s="3" t="s">
        <v>239</v>
      </c>
      <c r="C53" s="3" t="s">
        <v>240</v>
      </c>
      <c r="D53" s="4" t="s">
        <v>162</v>
      </c>
      <c r="E53" s="5" t="s">
        <v>93</v>
      </c>
      <c r="F53" s="4" t="s">
        <v>16</v>
      </c>
      <c r="G53" s="6"/>
      <c r="H53" s="6" t="s">
        <v>95</v>
      </c>
      <c r="I53" s="6" t="s">
        <v>241</v>
      </c>
      <c r="J53" s="4" t="s">
        <v>19</v>
      </c>
      <c r="K53" s="7"/>
      <c r="L53" s="6"/>
    </row>
    <row r="54" spans="1:12" x14ac:dyDescent="0.3">
      <c r="A54" s="6" t="s">
        <v>238</v>
      </c>
      <c r="B54" s="6" t="s">
        <v>242</v>
      </c>
      <c r="C54" s="6" t="s">
        <v>243</v>
      </c>
      <c r="D54" s="4" t="s">
        <v>162</v>
      </c>
      <c r="E54" s="5" t="s">
        <v>93</v>
      </c>
      <c r="F54" s="4" t="s">
        <v>16</v>
      </c>
      <c r="G54" s="6" t="s">
        <v>244</v>
      </c>
      <c r="H54" s="6" t="s">
        <v>95</v>
      </c>
      <c r="I54" s="6" t="s">
        <v>245</v>
      </c>
      <c r="J54" s="4" t="s">
        <v>19</v>
      </c>
      <c r="K54" s="7"/>
      <c r="L54" s="6"/>
    </row>
    <row r="55" spans="1:12" x14ac:dyDescent="0.3">
      <c r="A55" s="6" t="s">
        <v>238</v>
      </c>
      <c r="B55" s="6" t="s">
        <v>246</v>
      </c>
      <c r="C55" s="6" t="s">
        <v>247</v>
      </c>
      <c r="D55" s="4" t="s">
        <v>162</v>
      </c>
      <c r="E55" s="5" t="s">
        <v>93</v>
      </c>
      <c r="F55" s="4" t="s">
        <v>16</v>
      </c>
      <c r="G55" s="6"/>
      <c r="H55" s="6" t="s">
        <v>95</v>
      </c>
      <c r="I55" s="6" t="s">
        <v>248</v>
      </c>
      <c r="J55" s="4" t="s">
        <v>19</v>
      </c>
      <c r="K55" s="7"/>
      <c r="L55" s="6"/>
    </row>
    <row r="56" spans="1:12" x14ac:dyDescent="0.3">
      <c r="A56" s="6" t="s">
        <v>238</v>
      </c>
      <c r="B56" s="6" t="s">
        <v>249</v>
      </c>
      <c r="C56" s="6" t="s">
        <v>250</v>
      </c>
      <c r="D56" s="4" t="s">
        <v>162</v>
      </c>
      <c r="E56" s="5" t="s">
        <v>93</v>
      </c>
      <c r="F56" s="4" t="s">
        <v>16</v>
      </c>
      <c r="G56" s="6" t="s">
        <v>251</v>
      </c>
      <c r="H56" s="6" t="s">
        <v>95</v>
      </c>
      <c r="I56" s="6" t="s">
        <v>252</v>
      </c>
      <c r="J56" s="4" t="s">
        <v>19</v>
      </c>
      <c r="K56" s="7"/>
      <c r="L56" s="6"/>
    </row>
    <row r="57" spans="1:12" ht="25.5" customHeight="1" x14ac:dyDescent="0.3">
      <c r="A57" s="6" t="s">
        <v>238</v>
      </c>
      <c r="B57" s="6" t="s">
        <v>253</v>
      </c>
      <c r="C57" s="6" t="s">
        <v>254</v>
      </c>
      <c r="D57" s="4" t="s">
        <v>162</v>
      </c>
      <c r="E57" s="5" t="s">
        <v>15</v>
      </c>
      <c r="F57" s="4" t="s">
        <v>16</v>
      </c>
      <c r="G57" s="6" t="s">
        <v>217</v>
      </c>
      <c r="H57" s="6" t="s">
        <v>17</v>
      </c>
      <c r="I57" s="6" t="s">
        <v>255</v>
      </c>
      <c r="J57" s="4" t="s">
        <v>19</v>
      </c>
      <c r="K57" s="7"/>
      <c r="L57" s="6" t="s">
        <v>219</v>
      </c>
    </row>
    <row r="58" spans="1:12" ht="25.5" customHeight="1" x14ac:dyDescent="0.3">
      <c r="A58" s="6" t="s">
        <v>238</v>
      </c>
      <c r="B58" s="6" t="s">
        <v>256</v>
      </c>
      <c r="C58" s="6" t="s">
        <v>257</v>
      </c>
      <c r="D58" s="4" t="s">
        <v>162</v>
      </c>
      <c r="E58" s="5" t="s">
        <v>66</v>
      </c>
      <c r="F58" s="4" t="s">
        <v>16</v>
      </c>
      <c r="G58" s="6" t="s">
        <v>258</v>
      </c>
      <c r="H58" s="6" t="s">
        <v>68</v>
      </c>
      <c r="I58" s="6" t="s">
        <v>259</v>
      </c>
      <c r="J58" s="4" t="s">
        <v>19</v>
      </c>
      <c r="K58" s="7"/>
      <c r="L58" s="6"/>
    </row>
    <row r="59" spans="1:12" ht="25.5" customHeight="1" x14ac:dyDescent="0.3">
      <c r="A59" s="6" t="s">
        <v>238</v>
      </c>
      <c r="B59" s="6" t="s">
        <v>260</v>
      </c>
      <c r="C59" s="6" t="s">
        <v>261</v>
      </c>
      <c r="D59" s="4" t="s">
        <v>162</v>
      </c>
      <c r="E59" s="5" t="s">
        <v>66</v>
      </c>
      <c r="F59" s="4" t="s">
        <v>16</v>
      </c>
      <c r="G59" s="6" t="s">
        <v>262</v>
      </c>
      <c r="H59" s="6" t="s">
        <v>68</v>
      </c>
      <c r="I59" s="6" t="s">
        <v>263</v>
      </c>
      <c r="J59" s="4" t="s">
        <v>59</v>
      </c>
      <c r="K59" s="7"/>
      <c r="L59" s="6"/>
    </row>
    <row r="60" spans="1:12" ht="25.5" customHeight="1" x14ac:dyDescent="0.3">
      <c r="A60" s="6" t="s">
        <v>238</v>
      </c>
      <c r="B60" s="6" t="s">
        <v>264</v>
      </c>
      <c r="C60" s="6" t="s">
        <v>265</v>
      </c>
      <c r="D60" s="4" t="s">
        <v>162</v>
      </c>
      <c r="E60" s="5" t="s">
        <v>66</v>
      </c>
      <c r="F60" s="4" t="s">
        <v>16</v>
      </c>
      <c r="G60" s="6"/>
      <c r="H60" s="6" t="s">
        <v>68</v>
      </c>
      <c r="I60" s="6" t="s">
        <v>266</v>
      </c>
      <c r="J60" s="4" t="s">
        <v>19</v>
      </c>
      <c r="K60" s="7"/>
      <c r="L60" s="6"/>
    </row>
    <row r="61" spans="1:12" ht="25.5" customHeight="1" x14ac:dyDescent="0.3">
      <c r="A61" s="6" t="s">
        <v>238</v>
      </c>
      <c r="B61" s="6" t="s">
        <v>267</v>
      </c>
      <c r="C61" s="6" t="s">
        <v>268</v>
      </c>
      <c r="D61" s="4" t="s">
        <v>32</v>
      </c>
      <c r="E61" s="5" t="s">
        <v>66</v>
      </c>
      <c r="F61" s="4" t="s">
        <v>16</v>
      </c>
      <c r="G61" s="6" t="s">
        <v>269</v>
      </c>
      <c r="H61" s="6" t="s">
        <v>68</v>
      </c>
      <c r="I61" s="6" t="s">
        <v>270</v>
      </c>
      <c r="J61" s="4" t="s">
        <v>59</v>
      </c>
      <c r="K61" s="7"/>
      <c r="L61" s="6"/>
    </row>
    <row r="62" spans="1:12" ht="25.5" customHeight="1" x14ac:dyDescent="0.3">
      <c r="A62" s="6" t="s">
        <v>238</v>
      </c>
      <c r="B62" s="6" t="s">
        <v>271</v>
      </c>
      <c r="C62" s="6" t="s">
        <v>272</v>
      </c>
      <c r="D62" s="4" t="s">
        <v>162</v>
      </c>
      <c r="E62" s="5" t="s">
        <v>66</v>
      </c>
      <c r="F62" s="4" t="s">
        <v>16</v>
      </c>
      <c r="G62" s="6"/>
      <c r="H62" s="6" t="s">
        <v>68</v>
      </c>
      <c r="I62" s="6" t="s">
        <v>270</v>
      </c>
      <c r="J62" s="4" t="s">
        <v>59</v>
      </c>
      <c r="K62" s="7"/>
      <c r="L62" s="6"/>
    </row>
    <row r="63" spans="1:12" ht="25.5" customHeight="1" x14ac:dyDescent="0.3">
      <c r="A63" s="6" t="s">
        <v>238</v>
      </c>
      <c r="B63" s="6" t="s">
        <v>273</v>
      </c>
      <c r="C63" s="6" t="s">
        <v>274</v>
      </c>
      <c r="D63" s="4" t="s">
        <v>162</v>
      </c>
      <c r="E63" s="5" t="s">
        <v>166</v>
      </c>
      <c r="F63" s="4" t="s">
        <v>275</v>
      </c>
      <c r="G63" s="6" t="s">
        <v>276</v>
      </c>
      <c r="H63" s="6"/>
      <c r="I63" s="6"/>
      <c r="J63" s="4" t="s">
        <v>19</v>
      </c>
      <c r="K63" s="17" t="s">
        <v>277</v>
      </c>
      <c r="L63" s="6" t="s">
        <v>278</v>
      </c>
    </row>
    <row r="64" spans="1:12" ht="25.5" customHeight="1" x14ac:dyDescent="0.3">
      <c r="A64" s="6" t="s">
        <v>238</v>
      </c>
      <c r="B64" s="6" t="s">
        <v>279</v>
      </c>
      <c r="C64" s="6" t="s">
        <v>280</v>
      </c>
      <c r="D64" s="4" t="s">
        <v>162</v>
      </c>
      <c r="E64" s="5" t="s">
        <v>66</v>
      </c>
      <c r="F64" s="4" t="s">
        <v>16</v>
      </c>
      <c r="G64" s="6" t="s">
        <v>281</v>
      </c>
      <c r="H64" s="6" t="s">
        <v>68</v>
      </c>
      <c r="I64" s="6" t="s">
        <v>282</v>
      </c>
      <c r="J64" s="4" t="s">
        <v>59</v>
      </c>
      <c r="K64" s="7"/>
      <c r="L64" s="6"/>
    </row>
    <row r="65" spans="1:12" ht="25.5" customHeight="1" x14ac:dyDescent="0.3">
      <c r="A65" s="6" t="s">
        <v>238</v>
      </c>
      <c r="B65" s="6" t="s">
        <v>283</v>
      </c>
      <c r="C65" s="6" t="s">
        <v>284</v>
      </c>
      <c r="D65" s="4" t="s">
        <v>162</v>
      </c>
      <c r="E65" s="5" t="s">
        <v>66</v>
      </c>
      <c r="F65" s="4" t="s">
        <v>16</v>
      </c>
      <c r="G65" s="6"/>
      <c r="H65" s="6" t="s">
        <v>68</v>
      </c>
      <c r="I65" s="6" t="s">
        <v>285</v>
      </c>
      <c r="J65" s="4" t="s">
        <v>59</v>
      </c>
      <c r="K65" s="7"/>
      <c r="L65" s="6"/>
    </row>
    <row r="66" spans="1:12" ht="25.5" customHeight="1" x14ac:dyDescent="0.3">
      <c r="A66" s="6" t="s">
        <v>238</v>
      </c>
      <c r="B66" s="6" t="s">
        <v>286</v>
      </c>
      <c r="C66" s="6" t="s">
        <v>287</v>
      </c>
      <c r="D66" s="4" t="s">
        <v>162</v>
      </c>
      <c r="E66" s="5" t="s">
        <v>66</v>
      </c>
      <c r="F66" s="4" t="s">
        <v>16</v>
      </c>
      <c r="G66" s="6" t="s">
        <v>288</v>
      </c>
      <c r="H66" s="6" t="s">
        <v>68</v>
      </c>
      <c r="I66" s="6" t="s">
        <v>289</v>
      </c>
      <c r="J66" s="4" t="s">
        <v>19</v>
      </c>
      <c r="K66" s="7"/>
      <c r="L66" s="6"/>
    </row>
    <row r="67" spans="1:12" x14ac:dyDescent="0.3">
      <c r="A67" s="6" t="s">
        <v>238</v>
      </c>
      <c r="B67" s="6" t="s">
        <v>290</v>
      </c>
      <c r="C67" s="6" t="s">
        <v>291</v>
      </c>
      <c r="D67" s="4" t="s">
        <v>162</v>
      </c>
      <c r="E67" s="5" t="s">
        <v>292</v>
      </c>
      <c r="F67" s="4" t="s">
        <v>16</v>
      </c>
      <c r="G67" s="6" t="s">
        <v>293</v>
      </c>
      <c r="H67" s="6" t="s">
        <v>294</v>
      </c>
      <c r="I67" s="6" t="s">
        <v>295</v>
      </c>
      <c r="J67" s="4" t="s">
        <v>59</v>
      </c>
      <c r="K67" s="7"/>
      <c r="L67" s="6"/>
    </row>
    <row r="68" spans="1:12" x14ac:dyDescent="0.3">
      <c r="A68" s="6" t="s">
        <v>238</v>
      </c>
      <c r="B68" s="6" t="s">
        <v>296</v>
      </c>
      <c r="C68" s="6" t="s">
        <v>297</v>
      </c>
      <c r="D68" s="4" t="s">
        <v>162</v>
      </c>
      <c r="E68" s="5" t="s">
        <v>292</v>
      </c>
      <c r="F68" s="4" t="s">
        <v>16</v>
      </c>
      <c r="G68" s="6" t="s">
        <v>298</v>
      </c>
      <c r="H68" s="6" t="s">
        <v>294</v>
      </c>
      <c r="I68" s="6" t="s">
        <v>295</v>
      </c>
      <c r="J68" s="4" t="s">
        <v>59</v>
      </c>
      <c r="K68" s="7"/>
      <c r="L68" s="6"/>
    </row>
    <row r="69" spans="1:12" x14ac:dyDescent="0.3">
      <c r="A69" s="6" t="s">
        <v>238</v>
      </c>
      <c r="B69" s="6" t="s">
        <v>299</v>
      </c>
      <c r="C69" s="6" t="s">
        <v>300</v>
      </c>
      <c r="D69" s="4" t="s">
        <v>162</v>
      </c>
      <c r="E69" s="5" t="s">
        <v>292</v>
      </c>
      <c r="F69" s="4" t="s">
        <v>16</v>
      </c>
      <c r="G69" s="6"/>
      <c r="H69" s="6" t="s">
        <v>294</v>
      </c>
      <c r="I69" s="6" t="s">
        <v>295</v>
      </c>
      <c r="J69" s="4" t="s">
        <v>59</v>
      </c>
      <c r="K69" s="7"/>
      <c r="L69" s="6"/>
    </row>
    <row r="70" spans="1:12" ht="25.5" customHeight="1" x14ac:dyDescent="0.3">
      <c r="A70" s="6" t="s">
        <v>238</v>
      </c>
      <c r="B70" s="6" t="s">
        <v>301</v>
      </c>
      <c r="C70" s="6" t="s">
        <v>302</v>
      </c>
      <c r="D70" s="4" t="s">
        <v>162</v>
      </c>
      <c r="E70" s="5" t="s">
        <v>66</v>
      </c>
      <c r="F70" s="4" t="s">
        <v>16</v>
      </c>
      <c r="G70" s="6" t="s">
        <v>303</v>
      </c>
      <c r="H70" s="6" t="s">
        <v>68</v>
      </c>
      <c r="I70" s="6" t="s">
        <v>304</v>
      </c>
      <c r="J70" s="4" t="s">
        <v>19</v>
      </c>
      <c r="K70" s="7"/>
      <c r="L70" s="6"/>
    </row>
    <row r="71" spans="1:12" x14ac:dyDescent="0.3">
      <c r="A71" s="2" t="s">
        <v>305</v>
      </c>
      <c r="B71" s="3" t="s">
        <v>306</v>
      </c>
      <c r="C71" s="3" t="s">
        <v>307</v>
      </c>
      <c r="D71" s="4" t="s">
        <v>166</v>
      </c>
      <c r="E71" s="5" t="s">
        <v>166</v>
      </c>
      <c r="F71" s="4" t="s">
        <v>40</v>
      </c>
      <c r="G71" s="6" t="s">
        <v>308</v>
      </c>
      <c r="H71" s="6"/>
      <c r="I71" s="6"/>
      <c r="J71" s="4" t="s">
        <v>19</v>
      </c>
      <c r="K71" s="7"/>
      <c r="L71" s="6"/>
    </row>
    <row r="72" spans="1:12" x14ac:dyDescent="0.3">
      <c r="A72" s="6" t="s">
        <v>305</v>
      </c>
      <c r="B72" s="6" t="s">
        <v>309</v>
      </c>
      <c r="C72" s="6" t="s">
        <v>310</v>
      </c>
      <c r="D72" s="4" t="s">
        <v>166</v>
      </c>
      <c r="E72" s="5" t="s">
        <v>166</v>
      </c>
      <c r="F72" s="4" t="s">
        <v>166</v>
      </c>
      <c r="G72" s="6" t="s">
        <v>311</v>
      </c>
      <c r="H72" s="6"/>
      <c r="I72" s="6"/>
      <c r="J72" s="4" t="s">
        <v>19</v>
      </c>
      <c r="K72" s="7"/>
      <c r="L72" s="6"/>
    </row>
  </sheetData>
  <autoFilter ref="A1:L72" xr:uid="{00000000-0009-0000-0000-000000000000}"/>
  <phoneticPr fontId="6" type="noConversion"/>
  <dataValidations count="2">
    <dataValidation type="list" allowBlank="1" sqref="E2:E72" xr:uid="{00000000-0002-0000-0000-000000000000}">
      <formula1>"①,②,③,④,참고,첨부,시스템,—"</formula1>
    </dataValidation>
    <dataValidation type="list" allowBlank="1" sqref="D2:D72" xr:uid="{00000000-0002-0000-0000-000001000000}">
      <formula1>"계획,중간,기말,계획·중간·기말,공통,—"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"/>
  <sheetViews>
    <sheetView workbookViewId="0"/>
  </sheetViews>
  <sheetFormatPr defaultRowHeight="16.5" x14ac:dyDescent="0.3"/>
  <cols>
    <col min="1" max="1" width="16" customWidth="1"/>
    <col min="2" max="2" width="70" customWidth="1"/>
    <col min="3" max="3" width="40" customWidth="1"/>
  </cols>
  <sheetData>
    <row r="1" spans="1:3" ht="49.5" customHeight="1" x14ac:dyDescent="0.3">
      <c r="A1" s="8" t="s">
        <v>312</v>
      </c>
      <c r="B1" s="9"/>
      <c r="C1" s="9"/>
    </row>
    <row r="2" spans="1:3" x14ac:dyDescent="0.3">
      <c r="A2" s="9"/>
      <c r="B2" s="9"/>
      <c r="C2" s="9"/>
    </row>
    <row r="3" spans="1:3" ht="25.5" customHeight="1" x14ac:dyDescent="0.3">
      <c r="A3" s="10" t="s">
        <v>313</v>
      </c>
      <c r="B3" s="11" t="s">
        <v>314</v>
      </c>
      <c r="C3" s="10"/>
    </row>
    <row r="4" spans="1:3" x14ac:dyDescent="0.3">
      <c r="A4" s="9" t="s">
        <v>315</v>
      </c>
      <c r="B4" s="9" t="s">
        <v>316</v>
      </c>
      <c r="C4" s="9" t="s">
        <v>317</v>
      </c>
    </row>
    <row r="5" spans="1:3" x14ac:dyDescent="0.3">
      <c r="A5" s="9"/>
      <c r="B5" s="9"/>
      <c r="C5" s="9"/>
    </row>
    <row r="6" spans="1:3" x14ac:dyDescent="0.3">
      <c r="A6" s="12" t="s">
        <v>4</v>
      </c>
      <c r="B6" s="12" t="s">
        <v>318</v>
      </c>
      <c r="C6" s="12" t="s">
        <v>7</v>
      </c>
    </row>
    <row r="7" spans="1:3" x14ac:dyDescent="0.3">
      <c r="A7" s="9" t="s">
        <v>15</v>
      </c>
      <c r="B7" s="9" t="s">
        <v>319</v>
      </c>
      <c r="C7" s="9" t="s">
        <v>17</v>
      </c>
    </row>
    <row r="8" spans="1:3" x14ac:dyDescent="0.3">
      <c r="A8" s="9" t="s">
        <v>66</v>
      </c>
      <c r="B8" s="9" t="s">
        <v>320</v>
      </c>
      <c r="C8" s="9" t="s">
        <v>68</v>
      </c>
    </row>
    <row r="9" spans="1:3" x14ac:dyDescent="0.3">
      <c r="A9" s="9" t="s">
        <v>93</v>
      </c>
      <c r="B9" s="9" t="s">
        <v>321</v>
      </c>
      <c r="C9" s="9" t="s">
        <v>95</v>
      </c>
    </row>
    <row r="10" spans="1:3" x14ac:dyDescent="0.3">
      <c r="A10" s="9" t="s">
        <v>55</v>
      </c>
      <c r="B10" s="9" t="s">
        <v>322</v>
      </c>
      <c r="C10" s="9" t="s">
        <v>57</v>
      </c>
    </row>
    <row r="11" spans="1:3" x14ac:dyDescent="0.3">
      <c r="A11" s="9" t="s">
        <v>167</v>
      </c>
      <c r="B11" s="9" t="s">
        <v>323</v>
      </c>
      <c r="C11" s="9" t="s">
        <v>169</v>
      </c>
    </row>
    <row r="12" spans="1:3" x14ac:dyDescent="0.3">
      <c r="A12" s="9" t="s">
        <v>292</v>
      </c>
      <c r="B12" s="9" t="s">
        <v>324</v>
      </c>
      <c r="C12" s="9" t="s">
        <v>294</v>
      </c>
    </row>
    <row r="13" spans="1:3" x14ac:dyDescent="0.3">
      <c r="A13" s="9" t="s">
        <v>21</v>
      </c>
      <c r="B13" s="9" t="s">
        <v>325</v>
      </c>
      <c r="C13" s="9" t="s">
        <v>23</v>
      </c>
    </row>
    <row r="14" spans="1:3" x14ac:dyDescent="0.3">
      <c r="A14" s="9"/>
      <c r="B14" s="9"/>
      <c r="C14" s="9"/>
    </row>
    <row r="15" spans="1:3" x14ac:dyDescent="0.3">
      <c r="A15" s="12" t="s">
        <v>3</v>
      </c>
      <c r="B15" s="12" t="s">
        <v>326</v>
      </c>
      <c r="C15" s="12"/>
    </row>
    <row r="16" spans="1:3" x14ac:dyDescent="0.3">
      <c r="A16" s="9" t="s">
        <v>32</v>
      </c>
      <c r="B16" s="9" t="s">
        <v>327</v>
      </c>
      <c r="C16" s="9" t="s">
        <v>328</v>
      </c>
    </row>
    <row r="17" spans="1:3" x14ac:dyDescent="0.3">
      <c r="A17" s="9" t="s">
        <v>59</v>
      </c>
      <c r="B17" s="9" t="s">
        <v>329</v>
      </c>
      <c r="C17" s="9" t="s">
        <v>330</v>
      </c>
    </row>
    <row r="18" spans="1:3" x14ac:dyDescent="0.3">
      <c r="A18" s="9" t="s">
        <v>162</v>
      </c>
      <c r="B18" s="9" t="s">
        <v>331</v>
      </c>
      <c r="C18" s="9" t="s">
        <v>332</v>
      </c>
    </row>
    <row r="19" spans="1:3" x14ac:dyDescent="0.3">
      <c r="A19" s="9"/>
      <c r="B19" s="9"/>
      <c r="C19" s="9"/>
    </row>
    <row r="20" spans="1:3" x14ac:dyDescent="0.3">
      <c r="A20" s="10" t="s">
        <v>333</v>
      </c>
      <c r="B20" s="10" t="s">
        <v>334</v>
      </c>
      <c r="C20" s="10" t="s">
        <v>335</v>
      </c>
    </row>
    <row r="21" spans="1:3" ht="25.5" customHeight="1" x14ac:dyDescent="0.3">
      <c r="A21" s="9"/>
      <c r="B21" s="9" t="s">
        <v>336</v>
      </c>
      <c r="C21" s="9" t="s">
        <v>335</v>
      </c>
    </row>
    <row r="22" spans="1:3" x14ac:dyDescent="0.3">
      <c r="A22" s="9"/>
      <c r="B22" s="9" t="s">
        <v>337</v>
      </c>
      <c r="C22" s="9" t="s">
        <v>335</v>
      </c>
    </row>
    <row r="23" spans="1:3" x14ac:dyDescent="0.3">
      <c r="A23" s="9"/>
      <c r="B23" s="9" t="s">
        <v>338</v>
      </c>
      <c r="C23" s="9"/>
    </row>
    <row r="24" spans="1:3" x14ac:dyDescent="0.3">
      <c r="A24" s="9"/>
      <c r="B24" s="9"/>
      <c r="C24" s="9"/>
    </row>
    <row r="25" spans="1:3" x14ac:dyDescent="0.3">
      <c r="A25" s="10" t="s">
        <v>339</v>
      </c>
      <c r="B25" s="10" t="s">
        <v>340</v>
      </c>
      <c r="C25" s="10"/>
    </row>
    <row r="26" spans="1:3" x14ac:dyDescent="0.3">
      <c r="A26" s="9" t="s">
        <v>107</v>
      </c>
      <c r="B26" s="9" t="s">
        <v>341</v>
      </c>
      <c r="C26" s="9"/>
    </row>
    <row r="27" spans="1:3" x14ac:dyDescent="0.3">
      <c r="A27" s="9" t="s">
        <v>342</v>
      </c>
      <c r="B27" s="9" t="s">
        <v>343</v>
      </c>
      <c r="C27" s="9"/>
    </row>
    <row r="28" spans="1:3" x14ac:dyDescent="0.3">
      <c r="A28" s="9" t="s">
        <v>175</v>
      </c>
      <c r="B28" s="9" t="s">
        <v>344</v>
      </c>
      <c r="C28" s="9"/>
    </row>
    <row r="29" spans="1:3" x14ac:dyDescent="0.3">
      <c r="A29" s="9" t="s">
        <v>21</v>
      </c>
      <c r="B29" s="9" t="s">
        <v>345</v>
      </c>
      <c r="C29" s="9"/>
    </row>
    <row r="30" spans="1:3" x14ac:dyDescent="0.3">
      <c r="A30" s="9"/>
      <c r="B30" s="9"/>
      <c r="C30" s="9"/>
    </row>
    <row r="31" spans="1:3" x14ac:dyDescent="0.3">
      <c r="A31" s="9" t="s">
        <v>346</v>
      </c>
      <c r="B31" s="9" t="s">
        <v>347</v>
      </c>
      <c r="C31" s="9" t="s">
        <v>348</v>
      </c>
    </row>
    <row r="32" spans="1:3" x14ac:dyDescent="0.3">
      <c r="A32" s="9" t="s">
        <v>349</v>
      </c>
      <c r="B32" s="9" t="s">
        <v>350</v>
      </c>
      <c r="C32" s="9" t="s">
        <v>348</v>
      </c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workbookViewId="0"/>
  </sheetViews>
  <sheetFormatPr defaultRowHeight="16.5" x14ac:dyDescent="0.3"/>
  <cols>
    <col min="1" max="1" width="34" customWidth="1"/>
    <col min="2" max="8" width="9" customWidth="1"/>
  </cols>
  <sheetData>
    <row r="1" spans="1:8" x14ac:dyDescent="0.3">
      <c r="A1" s="1" t="s">
        <v>351</v>
      </c>
      <c r="B1" s="1" t="s">
        <v>15</v>
      </c>
      <c r="C1" s="1" t="s">
        <v>66</v>
      </c>
      <c r="D1" s="1" t="s">
        <v>93</v>
      </c>
      <c r="E1" s="1" t="s">
        <v>55</v>
      </c>
      <c r="F1" s="1" t="s">
        <v>167</v>
      </c>
      <c r="G1" s="1" t="s">
        <v>292</v>
      </c>
      <c r="H1" s="1" t="s">
        <v>352</v>
      </c>
    </row>
    <row r="2" spans="1:8" x14ac:dyDescent="0.3">
      <c r="A2" s="13" t="s">
        <v>32</v>
      </c>
      <c r="B2" s="4">
        <f>COUNTIFS('조서별 규칙'!$D$2:$D$72,"*계획*",'조서별 규칙'!$E$2:$E$72,"①")</f>
        <v>15</v>
      </c>
      <c r="C2" s="4">
        <f>COUNTIFS('조서별 규칙'!$D$2:$D$72,"*계획*",'조서별 규칙'!$E$2:$E$72,"②")</f>
        <v>5</v>
      </c>
      <c r="D2" s="4">
        <f>COUNTIFS('조서별 규칙'!$D$2:$D$72,"*계획*",'조서별 규칙'!$E$2:$E$72,"③")</f>
        <v>4</v>
      </c>
      <c r="E2" s="4">
        <f>COUNTIFS('조서별 규칙'!$D$2:$D$72,"*계획*",'조서별 규칙'!$E$2:$E$72,"④")</f>
        <v>3</v>
      </c>
      <c r="F2" s="4">
        <f>COUNTIFS('조서별 규칙'!$D$2:$D$72,"*계획*",'조서별 규칙'!$E$2:$E$72,"참고")</f>
        <v>0</v>
      </c>
      <c r="G2" s="4">
        <f>COUNTIFS('조서별 규칙'!$D$2:$D$72,"*계획*",'조서별 규칙'!$E$2:$E$72,"첨부")</f>
        <v>0</v>
      </c>
      <c r="H2" s="4">
        <f>SUM(B2:G2)</f>
        <v>27</v>
      </c>
    </row>
    <row r="3" spans="1:8" x14ac:dyDescent="0.3">
      <c r="A3" s="13" t="s">
        <v>59</v>
      </c>
      <c r="B3" s="4">
        <f>COUNTIFS('조서별 규칙'!$D$2:$D$72,"*중간*",'조서별 규칙'!$E$2:$E$72,"①")</f>
        <v>1</v>
      </c>
      <c r="C3" s="4">
        <f>COUNTIFS('조서별 규칙'!$D$2:$D$72,"*중간*",'조서별 규칙'!$E$2:$E$72,"②")</f>
        <v>0</v>
      </c>
      <c r="D3" s="4">
        <f>COUNTIFS('조서별 규칙'!$D$2:$D$72,"*중간*",'조서별 규칙'!$E$2:$E$72,"③")</f>
        <v>7</v>
      </c>
      <c r="E3" s="4">
        <f>COUNTIFS('조서별 규칙'!$D$2:$D$72,"*중간*",'조서별 규칙'!$E$2:$E$72,"④")</f>
        <v>1</v>
      </c>
      <c r="F3" s="4">
        <f>COUNTIFS('조서별 규칙'!$D$2:$D$72,"*중간*",'조서별 규칙'!$E$2:$E$72,"참고")</f>
        <v>0</v>
      </c>
      <c r="G3" s="4">
        <f>COUNTIFS('조서별 규칙'!$D$2:$D$72,"*중간*",'조서별 규칙'!$E$2:$E$72,"첨부")</f>
        <v>0</v>
      </c>
      <c r="H3" s="4">
        <f>SUM(B3:G3)</f>
        <v>9</v>
      </c>
    </row>
    <row r="4" spans="1:8" x14ac:dyDescent="0.3">
      <c r="A4" s="13" t="s">
        <v>162</v>
      </c>
      <c r="B4" s="4">
        <f>COUNTIFS('조서별 규칙'!$D$2:$D$72,"*기말*",'조서별 규칙'!$E$2:$E$72,"①")</f>
        <v>2</v>
      </c>
      <c r="C4" s="4">
        <f>COUNTIFS('조서별 규칙'!$D$2:$D$72,"*기말*",'조서별 규칙'!$E$2:$E$72,"②")</f>
        <v>11</v>
      </c>
      <c r="D4" s="4">
        <f>COUNTIFS('조서별 규칙'!$D$2:$D$72,"*기말*",'조서별 규칙'!$E$2:$E$72,"③")</f>
        <v>11</v>
      </c>
      <c r="E4" s="4">
        <f>COUNTIFS('조서별 규칙'!$D$2:$D$72,"*기말*",'조서별 규칙'!$E$2:$E$72,"④")</f>
        <v>4</v>
      </c>
      <c r="F4" s="4">
        <f>COUNTIFS('조서별 규칙'!$D$2:$D$72,"*기말*",'조서별 규칙'!$E$2:$E$72,"참고")</f>
        <v>0</v>
      </c>
      <c r="G4" s="4">
        <f>COUNTIFS('조서별 규칙'!$D$2:$D$72,"*기말*",'조서별 규칙'!$E$2:$E$72,"첨부")</f>
        <v>3</v>
      </c>
      <c r="H4" s="4">
        <f>SUM(B4:G4)</f>
        <v>31</v>
      </c>
    </row>
    <row r="5" spans="1:8" x14ac:dyDescent="0.3">
      <c r="A5" s="14" t="s">
        <v>352</v>
      </c>
      <c r="B5" s="5">
        <f t="shared" ref="B5:H5" si="0">SUM(B2:B4)</f>
        <v>18</v>
      </c>
      <c r="C5" s="5">
        <f t="shared" si="0"/>
        <v>16</v>
      </c>
      <c r="D5" s="5">
        <f t="shared" si="0"/>
        <v>22</v>
      </c>
      <c r="E5" s="5">
        <f t="shared" si="0"/>
        <v>8</v>
      </c>
      <c r="F5" s="5">
        <f t="shared" si="0"/>
        <v>0</v>
      </c>
      <c r="G5" s="5">
        <f t="shared" si="0"/>
        <v>3</v>
      </c>
      <c r="H5" s="5">
        <f t="shared" si="0"/>
        <v>67</v>
      </c>
    </row>
    <row r="6" spans="1:8" x14ac:dyDescent="0.3">
      <c r="A6" s="15"/>
      <c r="B6" s="15"/>
      <c r="C6" s="15"/>
      <c r="D6" s="15"/>
      <c r="E6" s="15"/>
      <c r="F6" s="15"/>
      <c r="G6" s="15"/>
      <c r="H6" s="15"/>
    </row>
    <row r="7" spans="1:8" x14ac:dyDescent="0.3">
      <c r="A7" s="15" t="s">
        <v>353</v>
      </c>
      <c r="B7" s="15">
        <f>D5+E5</f>
        <v>30</v>
      </c>
      <c r="C7" s="15"/>
      <c r="D7" s="15"/>
      <c r="E7" s="15"/>
      <c r="F7" s="15"/>
      <c r="G7" s="15"/>
      <c r="H7" s="15"/>
    </row>
    <row r="8" spans="1:8" x14ac:dyDescent="0.3">
      <c r="A8" s="15" t="s">
        <v>354</v>
      </c>
      <c r="B8" s="15">
        <f>B5+C5</f>
        <v>34</v>
      </c>
      <c r="C8" s="15"/>
      <c r="D8" s="15"/>
      <c r="E8" s="15"/>
      <c r="F8" s="15"/>
      <c r="G8" s="15"/>
      <c r="H8" s="15"/>
    </row>
    <row r="10" spans="1:8" x14ac:dyDescent="0.3">
      <c r="A10" s="16" t="s">
        <v>355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조서별 규칙</vt:lpstr>
      <vt:lpstr>범례</vt:lpstr>
      <vt:lpstr>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정우철</cp:lastModifiedBy>
  <dcterms:created xsi:type="dcterms:W3CDTF">2026-09-24T15:46:32Z</dcterms:created>
  <dcterms:modified xsi:type="dcterms:W3CDTF">2026-09-25T16:02:59Z</dcterms:modified>
</cp:coreProperties>
</file>